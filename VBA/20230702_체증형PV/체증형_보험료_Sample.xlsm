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10B102DF-0AFF-4DDA-AD9D-4AF32F8870E2}" xr6:coauthVersionLast="47" xr6:coauthVersionMax="47" xr10:uidLastSave="{00000000-0000-0000-0000-000000000000}"/>
  <bookViews>
    <workbookView xWindow="-108" yWindow="-108" windowWidth="23256" windowHeight="12456" xr2:uid="{399C82AF-DC06-4092-A9D8-AA59588A0CB2}"/>
  </bookViews>
  <sheets>
    <sheet name="Input" sheetId="4" r:id="rId1"/>
    <sheet name="Sample" sheetId="6" r:id="rId2"/>
    <sheet name="Expense" sheetId="7" r:id="rId3"/>
    <sheet name="Condition" sheetId="9" r:id="rId4"/>
    <sheet name="RiskRate" sheetId="1" r:id="rId5"/>
    <sheet name="Coverage" sheetId="5" r:id="rId6"/>
  </sheets>
  <functionGroups builtInGroupCount="19"/>
  <definedNames>
    <definedName name="alpha1">Input!$C$18</definedName>
    <definedName name="alpha2">Input!$C$19</definedName>
    <definedName name="alpha3">Input!$C$20</definedName>
    <definedName name="alpha4">Input!$C$21</definedName>
    <definedName name="beta1">Input!$C$22</definedName>
    <definedName name="beta2">Input!$C$23</definedName>
    <definedName name="beta3">Input!$C$24</definedName>
    <definedName name="ce_1">Input!$C$26</definedName>
    <definedName name="ce_2">Input!$C$27</definedName>
    <definedName name="exp_i">Input!$C$16</definedName>
    <definedName name="exp_v">Input!#REF!</definedName>
    <definedName name="gamma">Input!$C$25</definedName>
    <definedName name="hyung">Input!$C$5</definedName>
    <definedName name="ip">Input!$C$15</definedName>
    <definedName name="ir">Input!$C$14</definedName>
    <definedName name="jong">Input!$C$4</definedName>
    <definedName name="m_prime">Input!$C$17</definedName>
    <definedName name="Pm">Input!$C$12</definedName>
    <definedName name="PmCk">Input!$C$13</definedName>
    <definedName name="Pn">Input!$C$10</definedName>
    <definedName name="PnCk">Input!$C$11</definedName>
    <definedName name="_xlnm.Print_Area" localSheetId="0">Input!$A$1:$D$29</definedName>
    <definedName name="re">Input!$C$6</definedName>
    <definedName name="reTerm">Input!$C$7</definedName>
    <definedName name="seq">Input!$C$3</definedName>
    <definedName name="sex">Input!$C$8</definedName>
    <definedName name="x">Input!$C$9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B1" i="7"/>
  <c r="C1" i="7" s="1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F1" i="5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AV1" i="5" s="1"/>
  <c r="AW1" i="5" s="1"/>
  <c r="AX1" i="5" s="1"/>
  <c r="AY1" i="5" s="1"/>
  <c r="AZ1" i="5" s="1"/>
  <c r="BA1" i="5" s="1"/>
  <c r="BB1" i="5" s="1"/>
  <c r="BC1" i="5" s="1"/>
  <c r="BD1" i="5" s="1"/>
  <c r="BE1" i="5" s="1"/>
  <c r="BF1" i="5" s="1"/>
  <c r="BG1" i="5" s="1"/>
  <c r="BH1" i="5" s="1"/>
  <c r="BI1" i="5" s="1"/>
  <c r="BJ1" i="5" s="1"/>
  <c r="BK1" i="5" s="1"/>
  <c r="BL1" i="5" s="1"/>
  <c r="BM1" i="5" s="1"/>
  <c r="BN1" i="5" s="1"/>
  <c r="BO1" i="5" s="1"/>
  <c r="BP1" i="5" s="1"/>
  <c r="BQ1" i="5" s="1"/>
  <c r="BR1" i="5" s="1"/>
  <c r="BS1" i="5" s="1"/>
  <c r="BT1" i="5" s="1"/>
  <c r="BU1" i="5" s="1"/>
  <c r="BV1" i="5" s="1"/>
  <c r="BW1" i="5" s="1"/>
  <c r="BX1" i="5" s="1"/>
  <c r="BY1" i="5" s="1"/>
  <c r="BZ1" i="5" s="1"/>
  <c r="CA1" i="5" s="1"/>
  <c r="CB1" i="5" s="1"/>
  <c r="CC1" i="5" s="1"/>
  <c r="CD1" i="5" s="1"/>
  <c r="CE1" i="5" s="1"/>
  <c r="CF1" i="5" s="1"/>
  <c r="CG1" i="5" s="1"/>
  <c r="CH1" i="5" s="1"/>
  <c r="CI1" i="5" s="1"/>
  <c r="CJ1" i="5" s="1"/>
  <c r="CK1" i="5" s="1"/>
  <c r="CL1" i="5" s="1"/>
  <c r="CM1" i="5" s="1"/>
  <c r="CN1" i="5" s="1"/>
  <c r="CO1" i="5" s="1"/>
  <c r="CP1" i="5" s="1"/>
  <c r="CQ1" i="5" s="1"/>
  <c r="CR1" i="5" s="1"/>
  <c r="CS1" i="5" s="1"/>
  <c r="CT1" i="5" s="1"/>
  <c r="CU1" i="5" s="1"/>
  <c r="CV1" i="5" s="1"/>
  <c r="CW1" i="5" s="1"/>
  <c r="CX1" i="5" s="1"/>
  <c r="CY1" i="5" s="1"/>
  <c r="CZ1" i="5" s="1"/>
  <c r="DA1" i="5" s="1"/>
  <c r="DB1" i="5" s="1"/>
  <c r="DC1" i="5" s="1"/>
  <c r="DD1" i="5" s="1"/>
  <c r="DE1" i="5" s="1"/>
  <c r="E1" i="5"/>
  <c r="B1" i="5"/>
  <c r="C1" i="5" s="1"/>
  <c r="D1" i="5" s="1"/>
  <c r="B1" i="1"/>
  <c r="D8" i="4"/>
  <c r="DF1" i="5" l="1"/>
  <c r="DG1" i="5" s="1"/>
  <c r="DH1" i="5" s="1"/>
  <c r="DI1" i="5" s="1"/>
  <c r="DJ1" i="5" s="1"/>
  <c r="DK1" i="5" s="1"/>
  <c r="DL1" i="5" s="1"/>
  <c r="DM1" i="5" s="1"/>
  <c r="DN1" i="5" s="1"/>
  <c r="DO1" i="5" s="1"/>
  <c r="DP1" i="5" s="1"/>
  <c r="DQ1" i="5" s="1"/>
  <c r="DR1" i="5" s="1"/>
  <c r="DS1" i="5" s="1"/>
  <c r="DT1" i="5" s="1"/>
  <c r="DU1" i="5" s="1"/>
  <c r="DV1" i="5" s="1"/>
</calcChain>
</file>

<file path=xl/sharedStrings.xml><?xml version="1.0" encoding="utf-8"?>
<sst xmlns="http://schemas.openxmlformats.org/spreadsheetml/2006/main" count="641" uniqueCount="203">
  <si>
    <t>성별</t>
    <phoneticPr fontId="2" type="noConversion"/>
  </si>
  <si>
    <t>연령</t>
    <phoneticPr fontId="2" type="noConversion"/>
  </si>
  <si>
    <t>담보순번</t>
    <phoneticPr fontId="2" type="noConversion"/>
  </si>
  <si>
    <t>종</t>
    <phoneticPr fontId="2" type="noConversion"/>
  </si>
  <si>
    <t>Value</t>
    <phoneticPr fontId="2" type="noConversion"/>
  </si>
  <si>
    <t>Qx1</t>
    <phoneticPr fontId="2" type="noConversion"/>
  </si>
  <si>
    <t>Variable</t>
    <phoneticPr fontId="2" type="noConversion"/>
  </si>
  <si>
    <t>Symbol</t>
    <phoneticPr fontId="2" type="noConversion"/>
  </si>
  <si>
    <t>Description</t>
    <phoneticPr fontId="2" type="noConversion"/>
  </si>
  <si>
    <t>x</t>
    <phoneticPr fontId="2" type="noConversion"/>
  </si>
  <si>
    <t>sex</t>
    <phoneticPr fontId="2" type="noConversion"/>
  </si>
  <si>
    <t>만기</t>
    <phoneticPr fontId="2" type="noConversion"/>
  </si>
  <si>
    <t>만기구분</t>
    <phoneticPr fontId="2" type="noConversion"/>
  </si>
  <si>
    <t>1 : 세만기 / 2 : 연만기</t>
    <phoneticPr fontId="2" type="noConversion"/>
  </si>
  <si>
    <t>납기</t>
    <phoneticPr fontId="2" type="noConversion"/>
  </si>
  <si>
    <t>납기구분</t>
    <phoneticPr fontId="2" type="noConversion"/>
  </si>
  <si>
    <t>ir</t>
    <phoneticPr fontId="2" type="noConversion"/>
  </si>
  <si>
    <t>체증율</t>
    <phoneticPr fontId="2" type="noConversion"/>
  </si>
  <si>
    <t>ip</t>
    <phoneticPr fontId="2" type="noConversion"/>
  </si>
  <si>
    <t>체증주기</t>
    <phoneticPr fontId="2" type="noConversion"/>
  </si>
  <si>
    <t>seq</t>
    <phoneticPr fontId="2" type="noConversion"/>
  </si>
  <si>
    <t>jong</t>
    <phoneticPr fontId="2" type="noConversion"/>
  </si>
  <si>
    <t>hyung</t>
    <phoneticPr fontId="2" type="noConversion"/>
  </si>
  <si>
    <t>형</t>
    <phoneticPr fontId="2" type="noConversion"/>
  </si>
  <si>
    <t>적용이율</t>
    <phoneticPr fontId="2" type="noConversion"/>
  </si>
  <si>
    <t>γ</t>
  </si>
  <si>
    <t>ce1</t>
  </si>
  <si>
    <t>ce2</t>
  </si>
  <si>
    <t>alpha1</t>
  </si>
  <si>
    <t>alpha2</t>
  </si>
  <si>
    <t>alpha3</t>
  </si>
  <si>
    <t>alpha4</t>
  </si>
  <si>
    <t>beta1</t>
  </si>
  <si>
    <t>beta2</t>
  </si>
  <si>
    <t>beta3</t>
  </si>
  <si>
    <t>gamma</t>
  </si>
  <si>
    <t>ce_1</t>
  </si>
  <si>
    <t>ce_2</t>
  </si>
  <si>
    <t>α1</t>
  </si>
  <si>
    <t>α2</t>
  </si>
  <si>
    <t>α3</t>
  </si>
  <si>
    <t>α4</t>
  </si>
  <si>
    <t>β1</t>
  </si>
  <si>
    <t>β2</t>
  </si>
  <si>
    <t>β3</t>
  </si>
  <si>
    <t>m'</t>
    <phoneticPr fontId="2" type="noConversion"/>
  </si>
  <si>
    <t>m_prime</t>
    <phoneticPr fontId="2" type="noConversion"/>
  </si>
  <si>
    <t>담보번호</t>
    <phoneticPr fontId="2" type="noConversion"/>
  </si>
  <si>
    <t>담보명</t>
    <phoneticPr fontId="2" type="noConversion"/>
  </si>
  <si>
    <t>Ex(0)</t>
    <phoneticPr fontId="2" type="noConversion"/>
  </si>
  <si>
    <t>Ex(1)</t>
  </si>
  <si>
    <t>Ex(2)</t>
  </si>
  <si>
    <t>Ex(3)</t>
  </si>
  <si>
    <t>Ex(4)</t>
  </si>
  <si>
    <t>Ex(5)</t>
  </si>
  <si>
    <t>Ex(6)</t>
  </si>
  <si>
    <t>Ex(7)</t>
  </si>
  <si>
    <t>Ex(8)</t>
  </si>
  <si>
    <t>Ex(9)</t>
  </si>
  <si>
    <t>Ex(10)</t>
  </si>
  <si>
    <t>Ex(11)</t>
  </si>
  <si>
    <t>Ex(12)</t>
  </si>
  <si>
    <t>Ex(13)</t>
  </si>
  <si>
    <t>Ex(14)</t>
  </si>
  <si>
    <t>Ex(15)</t>
  </si>
  <si>
    <t>Ex(16)</t>
  </si>
  <si>
    <t>Ex(17)</t>
  </si>
  <si>
    <t>Ex(18)</t>
  </si>
  <si>
    <t>Ex(19)</t>
  </si>
  <si>
    <t>Ex(20)</t>
  </si>
  <si>
    <t>Bx(1)</t>
    <phoneticPr fontId="2" type="noConversion"/>
  </si>
  <si>
    <t>Bx(2)</t>
  </si>
  <si>
    <t>Bx(3)</t>
  </si>
  <si>
    <t>Bx(4)</t>
  </si>
  <si>
    <t>Bx(5)</t>
  </si>
  <si>
    <t>Bx(6)</t>
  </si>
  <si>
    <t>Bx(7)</t>
  </si>
  <si>
    <t>Bx(8)</t>
  </si>
  <si>
    <t>Bx(9)</t>
  </si>
  <si>
    <t>Bx(10)</t>
  </si>
  <si>
    <t>Bx(11)</t>
  </si>
  <si>
    <t>Bx(12)</t>
  </si>
  <si>
    <t>Bx(13)</t>
  </si>
  <si>
    <t>Bx(14)</t>
  </si>
  <si>
    <t>Bx(15)</t>
  </si>
  <si>
    <t>Bx(16)</t>
  </si>
  <si>
    <t>Bx(17)</t>
  </si>
  <si>
    <t>Bx(18)</t>
  </si>
  <si>
    <t>Bx(19)</t>
  </si>
  <si>
    <t>Bx(20)</t>
  </si>
  <si>
    <t>PayRate(1)</t>
    <phoneticPr fontId="2" type="noConversion"/>
  </si>
  <si>
    <t>PayRate(2)</t>
  </si>
  <si>
    <t>PayRate(3)</t>
  </si>
  <si>
    <t>PayRate(4)</t>
  </si>
  <si>
    <t>PayRate(5)</t>
  </si>
  <si>
    <t>PayRate(6)</t>
  </si>
  <si>
    <t>PayRate(7)</t>
  </si>
  <si>
    <t>PayRate(8)</t>
  </si>
  <si>
    <t>PayRate(9)</t>
  </si>
  <si>
    <t>PayRate(10)</t>
  </si>
  <si>
    <t>PayRate(11)</t>
  </si>
  <si>
    <t>PayRate(12)</t>
  </si>
  <si>
    <t>PayRate(13)</t>
  </si>
  <si>
    <t>PayRate(14)</t>
  </si>
  <si>
    <t>PayRate(15)</t>
  </si>
  <si>
    <t>PayRate(16)</t>
  </si>
  <si>
    <t>PayRate(17)</t>
  </si>
  <si>
    <t>PayRate(18)</t>
  </si>
  <si>
    <t>PayRate(19)</t>
  </si>
  <si>
    <t>PayRate(20)</t>
  </si>
  <si>
    <t>ReduceRate1(1)</t>
    <phoneticPr fontId="2" type="noConversion"/>
  </si>
  <si>
    <t>ReduceRate1(2)</t>
  </si>
  <si>
    <t>ReduceRate1(3)</t>
  </si>
  <si>
    <t>ReduceRate1(4)</t>
  </si>
  <si>
    <t>ReduceRate1(5)</t>
  </si>
  <si>
    <t>ReduceRate1(6)</t>
  </si>
  <si>
    <t>ReduceRate1(7)</t>
  </si>
  <si>
    <t>ReduceRate1(8)</t>
  </si>
  <si>
    <t>ReduceRate1(9)</t>
  </si>
  <si>
    <t>ReduceRate1(10)</t>
  </si>
  <si>
    <t>ReduceRate1(11)</t>
  </si>
  <si>
    <t>ReduceRate1(12)</t>
  </si>
  <si>
    <t>ReduceRate1(13)</t>
  </si>
  <si>
    <t>ReduceRate1(14)</t>
  </si>
  <si>
    <t>ReduceRate1(15)</t>
  </si>
  <si>
    <t>ReduceRate1(16)</t>
  </si>
  <si>
    <t>ReduceRate1(17)</t>
  </si>
  <si>
    <t>ReduceRate1(18)</t>
  </si>
  <si>
    <t>ReduceRate1(19)</t>
  </si>
  <si>
    <t>ReduceRate1(20)</t>
  </si>
  <si>
    <t>ReduceRate2(1)</t>
    <phoneticPr fontId="2" type="noConversion"/>
  </si>
  <si>
    <t>ReduceRate2(2)</t>
    <phoneticPr fontId="2" type="noConversion"/>
  </si>
  <si>
    <t>ReduceRate2(3)</t>
  </si>
  <si>
    <t>ReduceRate2(4)</t>
  </si>
  <si>
    <t>ReduceRate2(5)</t>
  </si>
  <si>
    <t>ReduceRate2(6)</t>
  </si>
  <si>
    <t>ReduceRate2(7)</t>
  </si>
  <si>
    <t>ReduceRate2(8)</t>
  </si>
  <si>
    <t>ReduceRate2(9)</t>
  </si>
  <si>
    <t>ReduceRate2(10)</t>
  </si>
  <si>
    <t>ReduceRate2(11)</t>
  </si>
  <si>
    <t>ReduceRate2(12)</t>
  </si>
  <si>
    <t>ReduceRate2(13)</t>
  </si>
  <si>
    <t>ReduceRate2(14)</t>
  </si>
  <si>
    <t>ReduceRate2(15)</t>
  </si>
  <si>
    <t>ReduceRate2(16)</t>
  </si>
  <si>
    <t>ReduceRate2(17)</t>
  </si>
  <si>
    <t>ReduceRate2(18)</t>
  </si>
  <si>
    <t>ReduceRate2(19)</t>
  </si>
  <si>
    <t>ReduceRate2(20)</t>
  </si>
  <si>
    <t>NonCov(1)</t>
  </si>
  <si>
    <t>NonCov(0)</t>
    <phoneticPr fontId="2" type="noConversion"/>
  </si>
  <si>
    <t>NonCov(2)</t>
  </si>
  <si>
    <t>NonCov(3)</t>
  </si>
  <si>
    <t>NonCov(4)</t>
  </si>
  <si>
    <t>NonCov(5)</t>
  </si>
  <si>
    <t>NonCov(6)</t>
  </si>
  <si>
    <t>NonCov(7)</t>
  </si>
  <si>
    <t>NonCov(8)</t>
  </si>
  <si>
    <t>NonCov(9)</t>
  </si>
  <si>
    <t>NonCov(10)</t>
  </si>
  <si>
    <t>NonCov(11)</t>
  </si>
  <si>
    <t>NonCov(12)</t>
  </si>
  <si>
    <t>NonCov(13)</t>
  </si>
  <si>
    <t>NonCov(14)</t>
  </si>
  <si>
    <t>NonCov(15)</t>
  </si>
  <si>
    <t>NonCov(16)</t>
  </si>
  <si>
    <t>NonCov(17)</t>
  </si>
  <si>
    <t>NonCov(18)</t>
  </si>
  <si>
    <t>NonCov(19)</t>
  </si>
  <si>
    <t>NonCov(20)</t>
  </si>
  <si>
    <t>담보개수</t>
    <phoneticPr fontId="2" type="noConversion"/>
  </si>
  <si>
    <t>TEST</t>
    <phoneticPr fontId="2" type="noConversion"/>
  </si>
  <si>
    <t>TAB_QX</t>
  </si>
  <si>
    <t>TAB_COV</t>
    <phoneticPr fontId="2" type="noConversion"/>
  </si>
  <si>
    <t>가입금액</t>
    <phoneticPr fontId="2" type="noConversion"/>
  </si>
  <si>
    <t>갱신주기</t>
    <phoneticPr fontId="2" type="noConversion"/>
  </si>
  <si>
    <t>신규/갱신</t>
    <phoneticPr fontId="2" type="noConversion"/>
  </si>
  <si>
    <t>만기유형</t>
    <phoneticPr fontId="2" type="noConversion"/>
  </si>
  <si>
    <t>납기유형</t>
    <phoneticPr fontId="2" type="noConversion"/>
  </si>
  <si>
    <t>일반상해후유장해</t>
    <phoneticPr fontId="2" type="noConversion"/>
  </si>
  <si>
    <t>1:연만기/2:세만기</t>
    <phoneticPr fontId="2" type="noConversion"/>
  </si>
  <si>
    <t>1:연납기/2:세납기</t>
    <phoneticPr fontId="2" type="noConversion"/>
  </si>
  <si>
    <t>Div1</t>
    <phoneticPr fontId="2" type="noConversion"/>
  </si>
  <si>
    <t>Div2</t>
    <phoneticPr fontId="2" type="noConversion"/>
  </si>
  <si>
    <t>Div3</t>
    <phoneticPr fontId="2" type="noConversion"/>
  </si>
  <si>
    <t>Div4</t>
    <phoneticPr fontId="2" type="noConversion"/>
  </si>
  <si>
    <t>QxType</t>
    <phoneticPr fontId="2" type="noConversion"/>
  </si>
  <si>
    <t>QxName</t>
    <phoneticPr fontId="2" type="noConversion"/>
  </si>
  <si>
    <t>QxCode</t>
    <phoneticPr fontId="2" type="noConversion"/>
  </si>
  <si>
    <t>-</t>
    <phoneticPr fontId="2" type="noConversion"/>
  </si>
  <si>
    <t>injure</t>
    <phoneticPr fontId="2" type="noConversion"/>
  </si>
  <si>
    <t>age</t>
    <phoneticPr fontId="2" type="noConversion"/>
  </si>
  <si>
    <t>Qx1</t>
  </si>
  <si>
    <t>Pm</t>
    <phoneticPr fontId="2" type="noConversion"/>
  </si>
  <si>
    <t>Pn</t>
    <phoneticPr fontId="2" type="noConversion"/>
  </si>
  <si>
    <t>PnCk</t>
    <phoneticPr fontId="2" type="noConversion"/>
  </si>
  <si>
    <t>PmCk</t>
    <phoneticPr fontId="2" type="noConversion"/>
  </si>
  <si>
    <t>exp_i</t>
    <phoneticPr fontId="2" type="noConversion"/>
  </si>
  <si>
    <t>TAB_EXP</t>
    <phoneticPr fontId="2" type="noConversion"/>
  </si>
  <si>
    <t>re</t>
    <phoneticPr fontId="2" type="noConversion"/>
  </si>
  <si>
    <t>신규갱신</t>
    <phoneticPr fontId="2" type="noConversion"/>
  </si>
  <si>
    <t>reTerm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</si>
</sst>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000_-;\-* #,##0.0000_-;_-* &quot;-&quot;_-;_-@_-"/>
    <numFmt numFmtId="177" formatCode="0.0%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sz val="11"/>
      <color theme="1"/>
      <name val="Calibri"/>
      <family val="3"/>
      <charset val="161"/>
    </font>
    <font>
      <b/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>
      <alignment vertical="center"/>
    </xf>
    <xf numFmtId="0" fontId="7" fillId="0" borderId="4" xfId="0" applyFont="1" applyBorder="1">
      <alignment vertical="center"/>
    </xf>
    <xf numFmtId="0" fontId="6" fillId="0" borderId="4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5" xfId="0" applyFont="1" applyFill="1" applyBorder="1">
      <alignment vertical="center"/>
    </xf>
    <xf numFmtId="0" fontId="0" fillId="3" borderId="5" xfId="0" applyFill="1" applyBorder="1">
      <alignment vertical="center"/>
    </xf>
    <xf numFmtId="10" fontId="0" fillId="3" borderId="5" xfId="0" applyNumberFormat="1" applyFill="1" applyBorder="1">
      <alignment vertical="center"/>
    </xf>
    <xf numFmtId="176" fontId="0" fillId="3" borderId="5" xfId="1" applyNumberFormat="1" applyFont="1" applyFill="1" applyBorder="1">
      <alignment vertical="center"/>
    </xf>
    <xf numFmtId="41" fontId="0" fillId="3" borderId="5" xfId="1" applyFont="1" applyFill="1" applyBorder="1">
      <alignment vertical="center"/>
    </xf>
    <xf numFmtId="177" fontId="0" fillId="3" borderId="5" xfId="2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4" borderId="0" xfId="0" applyFont="1" applyFill="1">
      <alignment vertical="center"/>
    </xf>
    <xf numFmtId="0" fontId="8" fillId="4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0" fillId="0" borderId="7" xfId="0" applyBorder="1">
      <alignment vertical="center"/>
    </xf>
    <xf numFmtId="0" fontId="0" fillId="0" borderId="7" xfId="0" quotePrefix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3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30481</xdr:colOff>
      <xdr:row>0</xdr:row>
      <xdr:rowOff>0</xdr:rowOff>
    </xdr:from>
    <xdr:to>
      <xdr:col>15</xdr:col>
      <xdr:colOff>33479</xdr:colOff>
      <xdr:row>11</xdr:row>
      <xdr:rowOff>99060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B9B5B54-7966-B079-9080-4D5A2A84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6441" y="220980"/>
          <a:ext cx="5367478" cy="25298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51C14C-4450-41A4-A481-7A85EF012850}" name="TAB_EXP" displayName="TAB_EXP" ref="A4:T7" totalsRowShown="0" headerRowDxfId="0">
  <autoFilter ref="A4:T7" xr:uid="{D151C14C-4450-41A4-A481-7A85EF012850}"/>
  <tableColumns count="20">
    <tableColumn id="1" xr3:uid="{65512861-67B9-4544-A2B2-62788546A2E0}" name="담보순번"/>
    <tableColumn id="2" xr3:uid="{1270261E-BB23-4359-B230-E3758236BDBA}" name="담보명"/>
    <tableColumn id="3" xr3:uid="{4273F26D-4D47-41E2-B33E-AD66E332A644}" name="종"/>
    <tableColumn id="4" xr3:uid="{56C474CA-6D8B-4148-AD9D-26FCB24F089E}" name="형"/>
    <tableColumn id="5" xr3:uid="{4D30081A-1756-4D4C-A92F-2AA0DA789AEF}" name="신규/갱신"/>
    <tableColumn id="6" xr3:uid="{4D97775D-F457-4912-B31F-AA948EC8CB6E}" name="갱신주기"/>
    <tableColumn id="7" xr3:uid="{54BC7E9F-EF49-4624-AF12-441CC96A9F73}" name="만기"/>
    <tableColumn id="8" xr3:uid="{0FB85F32-549F-42B5-94AD-3658E9E045C1}" name="만기유형"/>
    <tableColumn id="9" xr3:uid="{323572F2-61D9-4D4E-A71D-40716CBFA682}" name="납기"/>
    <tableColumn id="10" xr3:uid="{D2BF2F63-290B-479E-9C14-CA4CFB81FCFA}" name="납기유형"/>
    <tableColumn id="11" xr3:uid="{23C572C4-60D8-4C2F-A77F-0B7B33894019}" name="α1"/>
    <tableColumn id="12" xr3:uid="{2F3E5BED-69A4-4B3D-B9E8-A64D58DCD98E}" name="α2"/>
    <tableColumn id="13" xr3:uid="{59B9960C-0009-460E-945E-6963F5BE0ED5}" name="α3"/>
    <tableColumn id="14" xr3:uid="{FA0040C9-A53B-40C9-8F05-F027DCE02A88}" name="α4"/>
    <tableColumn id="15" xr3:uid="{C53A9062-5BE4-4A99-B105-42E3A5E55003}" name="β1"/>
    <tableColumn id="16" xr3:uid="{51242269-A51E-4482-BE6D-AE2AAABAA637}" name="β2"/>
    <tableColumn id="17" xr3:uid="{DA4DD5AA-999E-4258-A231-90C16234C96C}" name="β3"/>
    <tableColumn id="18" xr3:uid="{5D7EEC93-1143-4A34-B28D-0F9A2A1EEEF5}" name="γ"/>
    <tableColumn id="19" xr3:uid="{B75CCDEC-E667-46CB-AC20-4EC804E2BF08}" name="ce1"/>
    <tableColumn id="20" xr3:uid="{13980E2D-6CBF-4132-AE73-17755CE94A9C}" name="ce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557574-77D8-4845-B567-86E1BFB5E08C}" name="TAB_QX" displayName="TAB_QX" ref="A4:H206" totalsRowShown="0" headerRowDxfId="129">
  <autoFilter ref="A4:H206" xr:uid="{84557574-77D8-4845-B567-86E1BFB5E08C}"/>
  <tableColumns count="8">
    <tableColumn id="1" xr3:uid="{7C9BD996-292D-4A8B-AE80-DBE981936575}" name="QxCode"/>
    <tableColumn id="2" xr3:uid="{492C8048-3BF1-4C15-A6D9-7A590914F87C}" name="QxName"/>
    <tableColumn id="8" xr3:uid="{34A1DFBB-CC6F-4AA8-8BF7-45F81A7755CE}" name="QxType"/>
    <tableColumn id="3" xr3:uid="{D5516F9B-B52C-4E0A-B573-9D2F1E337B0E}" name="Div1"/>
    <tableColumn id="4" xr3:uid="{00519CE2-7634-4914-A04F-1F97D93FB0AF}" name="Div2"/>
    <tableColumn id="5" xr3:uid="{A843B743-A5AD-4071-B78E-D2A7B01A93A9}" name="Div3"/>
    <tableColumn id="7" xr3:uid="{C2882479-0292-4F8C-B8D6-72A42FF26C47}" name="Div4"/>
    <tableColumn id="6" xr3:uid="{8634C950-433E-47B5-8CEF-AD3203A3F148}" name="Valu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B397B-903F-4EF0-8E91-E83AA2B5D492}" name="TAB_COV" displayName="TAB_COV" ref="A3:DV4" totalsRowShown="0" headerRowDxfId="128" dataDxfId="127">
  <autoFilter ref="A3:DV4" xr:uid="{D37B397B-903F-4EF0-8E91-E83AA2B5D492}"/>
  <tableColumns count="126">
    <tableColumn id="1" xr3:uid="{2234428F-D8C6-4A25-B4CE-5594FE9E9EEE}" name="담보번호" dataDxfId="126"/>
    <tableColumn id="2" xr3:uid="{D168B8E3-1BFE-4B10-AC66-DD38C9F99192}" name="담보명" dataDxfId="125"/>
    <tableColumn id="3" xr3:uid="{F6DB761F-01E1-484A-9B60-3800D05FEB1C}" name="담보개수" dataDxfId="124"/>
    <tableColumn id="127" xr3:uid="{6FC4DB32-DE89-4B52-8818-4DCCD78DCDAA}" name="가입금액" dataDxfId="123"/>
    <tableColumn id="4" xr3:uid="{DAFAC4E5-64FB-44EE-A752-D73819E3CF36}" name="Ex(0)" dataDxfId="122"/>
    <tableColumn id="5" xr3:uid="{4D23347D-CDA9-401E-9B92-CC077855057F}" name="Ex(1)" dataDxfId="121"/>
    <tableColumn id="6" xr3:uid="{2E5DBE1B-1A04-4798-80E8-FCD2D390397E}" name="Ex(2)" dataDxfId="120"/>
    <tableColumn id="7" xr3:uid="{80233C3E-477A-448B-846D-80636D04E652}" name="Ex(3)" dataDxfId="119"/>
    <tableColumn id="8" xr3:uid="{8A36310E-F79B-41C2-98BA-68C850381C90}" name="Ex(4)" dataDxfId="118"/>
    <tableColumn id="9" xr3:uid="{9603E985-7BC2-4E83-876C-66316AFEB0DF}" name="Ex(5)" dataDxfId="117"/>
    <tableColumn id="10" xr3:uid="{C4D3F7D3-D015-4FAA-8DE1-8B821FE8B14C}" name="Ex(6)" dataDxfId="116"/>
    <tableColumn id="11" xr3:uid="{64F0E3A9-1BAD-4740-AEEA-5CFC00731A08}" name="Ex(7)" dataDxfId="115"/>
    <tableColumn id="12" xr3:uid="{0BF4136F-D480-4556-B037-238CE8692C2D}" name="Ex(8)" dataDxfId="114"/>
    <tableColumn id="13" xr3:uid="{F777EEA3-EAC9-41D2-B647-89AAA1AF5C0B}" name="Ex(9)" dataDxfId="113"/>
    <tableColumn id="14" xr3:uid="{241B4DC6-DC21-483B-A832-7524A2A2EE03}" name="Ex(10)" dataDxfId="112"/>
    <tableColumn id="15" xr3:uid="{C0A50208-E77D-4F02-9FE2-10F8C0F5B369}" name="Ex(11)" dataDxfId="111"/>
    <tableColumn id="16" xr3:uid="{E2EF2B8B-37E0-48F5-A45B-FAE98A9AD483}" name="Ex(12)" dataDxfId="110"/>
    <tableColumn id="17" xr3:uid="{255F5A49-530B-4994-9C59-F4D30DB8FD6E}" name="Ex(13)" dataDxfId="109"/>
    <tableColumn id="18" xr3:uid="{C7911D72-5F37-4A87-AA8C-005B9A8E0727}" name="Ex(14)" dataDxfId="108"/>
    <tableColumn id="19" xr3:uid="{38F56F22-E121-4F0B-87BB-D08C4C50F460}" name="Ex(15)" dataDxfId="107"/>
    <tableColumn id="20" xr3:uid="{263824E7-DFA8-4AD6-B31C-61175F35FFF2}" name="Ex(16)" dataDxfId="106"/>
    <tableColumn id="21" xr3:uid="{D304D2E8-CA03-4D41-B2CD-B39FFF1FE761}" name="Ex(17)" dataDxfId="105"/>
    <tableColumn id="22" xr3:uid="{E50A7EDD-A8F4-451A-945E-602DDA702968}" name="Ex(18)" dataDxfId="104"/>
    <tableColumn id="23" xr3:uid="{81682CA1-09B4-4923-829D-C129FFBE72A7}" name="Ex(19)" dataDxfId="103"/>
    <tableColumn id="24" xr3:uid="{00485395-271E-4AD0-94D2-613098EF32CF}" name="Ex(20)" dataDxfId="102"/>
    <tableColumn id="25" xr3:uid="{AF8F37E3-951D-4DAD-8C07-E011ED44070C}" name="Bx(1)" dataDxfId="1"/>
    <tableColumn id="26" xr3:uid="{D9E90B5D-E53C-49A5-BD2F-D1A0AE1A4FBD}" name="Bx(2)" dataDxfId="101"/>
    <tableColumn id="27" xr3:uid="{E2CBAC4A-7E6C-43CA-AE77-D98B9379EAEE}" name="Bx(3)" dataDxfId="100"/>
    <tableColumn id="28" xr3:uid="{0A57176F-361E-4731-AC9F-7BCEA0359CCC}" name="Bx(4)" dataDxfId="99"/>
    <tableColumn id="29" xr3:uid="{1848E744-001F-47DA-9F3A-BA83EDC7B5D7}" name="Bx(5)" dataDxfId="98"/>
    <tableColumn id="30" xr3:uid="{5C4EECD2-7370-4918-9C0B-046505D8AF01}" name="Bx(6)" dataDxfId="97"/>
    <tableColumn id="31" xr3:uid="{FB373BC0-7740-4E7A-94F0-C6AA93A252EE}" name="Bx(7)" dataDxfId="96"/>
    <tableColumn id="32" xr3:uid="{4EC5D613-646C-4FF3-8455-C4E6412C71DF}" name="Bx(8)" dataDxfId="95"/>
    <tableColumn id="33" xr3:uid="{201E23F9-97E5-46E3-A116-B9EA0C3C811C}" name="Bx(9)" dataDxfId="94"/>
    <tableColumn id="34" xr3:uid="{FBCAC6C3-81D0-4A18-8DDC-E0345A1B903B}" name="Bx(10)" dataDxfId="93"/>
    <tableColumn id="35" xr3:uid="{A0451BEA-F60E-405A-AA8F-0203FF93B1E9}" name="Bx(11)" dataDxfId="92"/>
    <tableColumn id="36" xr3:uid="{E3D82C19-457F-44B7-8C52-34E4AC12D61F}" name="Bx(12)" dataDxfId="91"/>
    <tableColumn id="37" xr3:uid="{D1E29DCE-A922-4254-A4AF-BA9FF3D673AF}" name="Bx(13)" dataDxfId="90"/>
    <tableColumn id="38" xr3:uid="{6CCEB7CF-ACEC-41AE-B64C-13427B114DBA}" name="Bx(14)" dataDxfId="89"/>
    <tableColumn id="39" xr3:uid="{507EA7C3-7D9D-4353-BA07-9378C6A4BAB2}" name="Bx(15)" dataDxfId="88"/>
    <tableColumn id="40" xr3:uid="{331B6583-8F4B-4A78-8B78-5A3238607870}" name="Bx(16)" dataDxfId="87"/>
    <tableColumn id="41" xr3:uid="{1C09BC60-5E9A-4521-8FDF-299B560C9314}" name="Bx(17)" dataDxfId="86"/>
    <tableColumn id="42" xr3:uid="{641C80ED-F9BC-411A-99A0-15EFA7D66A70}" name="Bx(18)" dataDxfId="85"/>
    <tableColumn id="43" xr3:uid="{9DA4C8CF-7B79-4C13-AE3A-E505103608AC}" name="Bx(19)" dataDxfId="84"/>
    <tableColumn id="44" xr3:uid="{121F1A02-5CBC-4F21-B81A-D20F2310754B}" name="Bx(20)" dataDxfId="83"/>
    <tableColumn id="45" xr3:uid="{D8DFF580-F7DA-4F4B-8747-4E9925850F00}" name="PayRate(1)" dataDxfId="82"/>
    <tableColumn id="46" xr3:uid="{7B8778B5-609F-4CF1-A3F6-706AE5C8C5ED}" name="PayRate(2)" dataDxfId="81"/>
    <tableColumn id="47" xr3:uid="{528F1C88-703C-4130-837B-216AAA5299C3}" name="PayRate(3)" dataDxfId="80"/>
    <tableColumn id="48" xr3:uid="{F22F6F8E-C903-4BB6-A680-DFAEBA1C63A3}" name="PayRate(4)" dataDxfId="79"/>
    <tableColumn id="49" xr3:uid="{F219008C-F38D-41A3-8CC5-662694BC22A1}" name="PayRate(5)" dataDxfId="78"/>
    <tableColumn id="50" xr3:uid="{9018E924-DB0D-468D-82E5-25DC822A0BD6}" name="PayRate(6)" dataDxfId="77"/>
    <tableColumn id="51" xr3:uid="{E824C886-0081-44FD-B79C-0A0F9833D032}" name="PayRate(7)" dataDxfId="76"/>
    <tableColumn id="52" xr3:uid="{A2B1FB63-2526-400F-B940-52DC6E2BEDFE}" name="PayRate(8)" dataDxfId="75"/>
    <tableColumn id="53" xr3:uid="{50F91D7B-2FDE-492C-AF6E-3D428CD4715B}" name="PayRate(9)" dataDxfId="74"/>
    <tableColumn id="54" xr3:uid="{CB666784-F7E8-456E-B216-21CCC943544C}" name="PayRate(10)" dataDxfId="73"/>
    <tableColumn id="55" xr3:uid="{3E1DBBF8-8105-4E04-8ACF-D4C5956EA3CB}" name="PayRate(11)" dataDxfId="72"/>
    <tableColumn id="56" xr3:uid="{905450D7-3A42-4F46-98D1-F3A58A4DDB56}" name="PayRate(12)" dataDxfId="71"/>
    <tableColumn id="57" xr3:uid="{908A171D-054B-4DB8-83C2-AEC2BEF2F815}" name="PayRate(13)" dataDxfId="70"/>
    <tableColumn id="58" xr3:uid="{D1DF1974-F682-46F6-AD1B-0B2036DCE6A9}" name="PayRate(14)" dataDxfId="69"/>
    <tableColumn id="59" xr3:uid="{EE499BB1-D30D-42CA-B14D-C8D1CBC91BEF}" name="PayRate(15)" dataDxfId="68"/>
    <tableColumn id="60" xr3:uid="{5D67D651-61BE-47A2-8752-7D949BC8D73D}" name="PayRate(16)" dataDxfId="67"/>
    <tableColumn id="61" xr3:uid="{8F073B8F-E2C7-464F-BC24-723D35D749E1}" name="PayRate(17)" dataDxfId="66"/>
    <tableColumn id="62" xr3:uid="{1B6596C6-D560-4A62-9693-B056F93CE47E}" name="PayRate(18)" dataDxfId="65"/>
    <tableColumn id="63" xr3:uid="{F8C9F87E-CD49-4BA3-BAC2-3983CABB7DD1}" name="PayRate(19)" dataDxfId="64"/>
    <tableColumn id="64" xr3:uid="{526E4FB5-66F4-4D97-99E0-5E03FBEA868E}" name="PayRate(20)" dataDxfId="63"/>
    <tableColumn id="65" xr3:uid="{44559249-0A24-4F63-B2D3-C2F435FCAF43}" name="ReduceRate1(1)" dataDxfId="62"/>
    <tableColumn id="66" xr3:uid="{BBA839D1-A9A3-47E1-9AF4-1E27F52C54D2}" name="ReduceRate1(2)" dataDxfId="61"/>
    <tableColumn id="67" xr3:uid="{11E00E14-FD80-4BD8-8F23-6352A704624A}" name="ReduceRate1(3)" dataDxfId="60"/>
    <tableColumn id="68" xr3:uid="{1C340C15-7613-4ED6-8368-BA47AAAB2F26}" name="ReduceRate1(4)" dataDxfId="59"/>
    <tableColumn id="69" xr3:uid="{E0977308-A169-443E-8765-48207B52019D}" name="ReduceRate1(5)" dataDxfId="58"/>
    <tableColumn id="70" xr3:uid="{93BD45EC-05ED-4EF4-B3B9-3C44749C0F2D}" name="ReduceRate1(6)" dataDxfId="57"/>
    <tableColumn id="71" xr3:uid="{5B056A1B-972E-4569-8123-70C9FAEC8866}" name="ReduceRate1(7)" dataDxfId="56"/>
    <tableColumn id="72" xr3:uid="{CF152DEF-C852-4961-87DD-8053F85A9DBA}" name="ReduceRate1(8)" dataDxfId="55"/>
    <tableColumn id="73" xr3:uid="{1E1F18F3-11BE-4AF4-AC33-29C8790722DD}" name="ReduceRate1(9)" dataDxfId="54"/>
    <tableColumn id="74" xr3:uid="{7026728E-9DD4-447F-9127-6681551FBAB6}" name="ReduceRate1(10)" dataDxfId="53"/>
    <tableColumn id="75" xr3:uid="{58756140-CEC5-47C0-96F3-2890FA7FCF52}" name="ReduceRate1(11)" dataDxfId="52"/>
    <tableColumn id="76" xr3:uid="{C0DBB471-4A7D-4578-8E1A-592412B8D908}" name="ReduceRate1(12)" dataDxfId="51"/>
    <tableColumn id="77" xr3:uid="{DC74927E-9383-447D-B8D1-015B66BE8F46}" name="ReduceRate1(13)" dataDxfId="50"/>
    <tableColumn id="78" xr3:uid="{6757CF5E-3AC6-4C05-9C55-357542152321}" name="ReduceRate1(14)" dataDxfId="49"/>
    <tableColumn id="79" xr3:uid="{EC197386-BD0C-4CCE-AF8C-004FCCA218A1}" name="ReduceRate1(15)" dataDxfId="48"/>
    <tableColumn id="80" xr3:uid="{466B5C56-C2F7-4E0C-A3B3-AE32BF971B21}" name="ReduceRate1(16)" dataDxfId="47"/>
    <tableColumn id="81" xr3:uid="{5B01ADE6-6032-445B-9694-CEB29977955D}" name="ReduceRate1(17)" dataDxfId="46"/>
    <tableColumn id="82" xr3:uid="{7A600840-A74B-48AC-8A4D-9DFC0FE782DE}" name="ReduceRate1(18)" dataDxfId="45"/>
    <tableColumn id="83" xr3:uid="{F7027E6A-BA15-4E6B-9F74-6741CD891D20}" name="ReduceRate1(19)" dataDxfId="44"/>
    <tableColumn id="84" xr3:uid="{8C1BAF00-4E1C-47EC-8283-11D39696E19A}" name="ReduceRate1(20)" dataDxfId="43"/>
    <tableColumn id="85" xr3:uid="{16EA53DD-707B-42CF-85C4-1D70CB03D733}" name="ReduceRate2(1)" dataDxfId="42"/>
    <tableColumn id="86" xr3:uid="{8EBA1F81-A0F3-44D7-8361-335461E1E3C4}" name="ReduceRate2(2)" dataDxfId="41"/>
    <tableColumn id="87" xr3:uid="{430163EA-F221-4F9C-952A-120F2CED6FB2}" name="ReduceRate2(3)" dataDxfId="40"/>
    <tableColumn id="88" xr3:uid="{C826F8A4-8D17-48CC-8708-3921C3CB852A}" name="ReduceRate2(4)" dataDxfId="39"/>
    <tableColumn id="89" xr3:uid="{F6A8A487-1806-4AF6-9072-63E72815784F}" name="ReduceRate2(5)" dataDxfId="38"/>
    <tableColumn id="90" xr3:uid="{FD995B20-80D2-43D0-8236-8F23F4754B29}" name="ReduceRate2(6)" dataDxfId="37"/>
    <tableColumn id="91" xr3:uid="{76C1CCD0-E57D-4DA0-A578-EA5F1FD8C27B}" name="ReduceRate2(7)" dataDxfId="36"/>
    <tableColumn id="92" xr3:uid="{A1AB704F-C484-4CBD-8A26-42BF3BF09204}" name="ReduceRate2(8)" dataDxfId="35"/>
    <tableColumn id="93" xr3:uid="{169BAB5E-D70A-492F-9856-20BFEC68947B}" name="ReduceRate2(9)" dataDxfId="34"/>
    <tableColumn id="94" xr3:uid="{BA29CFD0-ED1C-4C0C-B7FA-5E27DAE84BFB}" name="ReduceRate2(10)" dataDxfId="33"/>
    <tableColumn id="95" xr3:uid="{0638949D-AEB2-4142-BE90-581254A8E0E4}" name="ReduceRate2(11)" dataDxfId="32"/>
    <tableColumn id="96" xr3:uid="{FAC50892-EEB0-4CEF-A8F4-339A72133D57}" name="ReduceRate2(12)" dataDxfId="31"/>
    <tableColumn id="97" xr3:uid="{58CDCE19-CD11-4B74-842A-00B1B0DD5DB2}" name="ReduceRate2(13)" dataDxfId="30"/>
    <tableColumn id="98" xr3:uid="{1D9D3BF7-6ABA-47C8-8654-8E8DC29665CE}" name="ReduceRate2(14)" dataDxfId="29"/>
    <tableColumn id="99" xr3:uid="{5B6276E6-4E6A-45FC-BD73-71664C80EF0E}" name="ReduceRate2(15)" dataDxfId="28"/>
    <tableColumn id="100" xr3:uid="{B22AC729-EC84-49CB-B91A-B4A7E26E65D5}" name="ReduceRate2(16)" dataDxfId="27"/>
    <tableColumn id="101" xr3:uid="{3348615B-4A9C-438C-B07A-66D23F26AFDD}" name="ReduceRate2(17)" dataDxfId="26"/>
    <tableColumn id="102" xr3:uid="{C4863B2C-F42A-4E9E-A8C0-A60B2C572971}" name="ReduceRate2(18)" dataDxfId="25"/>
    <tableColumn id="103" xr3:uid="{F8B4B4DB-779A-42FE-9C8D-35E315BEAB89}" name="ReduceRate2(19)" dataDxfId="24"/>
    <tableColumn id="104" xr3:uid="{4C471E4B-732B-4A9E-B232-36FB0E318B43}" name="ReduceRate2(20)" dataDxfId="23"/>
    <tableColumn id="105" xr3:uid="{CE67C913-DE4F-4B25-9C0F-081774158B6A}" name="NonCov(0)" dataDxfId="22"/>
    <tableColumn id="106" xr3:uid="{5CACC66D-145A-47C9-A094-F3A3771F3F66}" name="NonCov(1)" dataDxfId="21"/>
    <tableColumn id="107" xr3:uid="{D243F31D-602D-4C2F-B6E0-CB8B7C8EB38E}" name="NonCov(2)" dataDxfId="20"/>
    <tableColumn id="108" xr3:uid="{CF190C59-D04E-4D2D-955F-9AFEEC6659C8}" name="NonCov(3)" dataDxfId="19"/>
    <tableColumn id="109" xr3:uid="{8C3216E1-FE6E-4859-9786-067600117453}" name="NonCov(4)" dataDxfId="18"/>
    <tableColumn id="110" xr3:uid="{D5038A69-C7D1-4C15-A529-F71541998C11}" name="NonCov(5)" dataDxfId="17"/>
    <tableColumn id="111" xr3:uid="{95306030-075C-4DE9-9991-E23C33F00CF9}" name="NonCov(6)" dataDxfId="16"/>
    <tableColumn id="112" xr3:uid="{8AA7C54B-7102-43DD-8C57-3E4D66E0AA4A}" name="NonCov(7)" dataDxfId="15"/>
    <tableColumn id="113" xr3:uid="{EEBA3F0D-0311-45A3-ACE5-039A7CA64910}" name="NonCov(8)" dataDxfId="14"/>
    <tableColumn id="114" xr3:uid="{DDBAECF8-FBDA-476D-9E18-8A6CF71006EB}" name="NonCov(9)" dataDxfId="13"/>
    <tableColumn id="115" xr3:uid="{6F43EBD9-98B6-4A37-9ADA-F7BCA42A1A52}" name="NonCov(10)" dataDxfId="12"/>
    <tableColumn id="116" xr3:uid="{E24FB8C5-FD64-4A18-862B-89D25CF812AD}" name="NonCov(11)" dataDxfId="11"/>
    <tableColumn id="117" xr3:uid="{AA3917E0-3D23-4170-997B-6D76F4ED2476}" name="NonCov(12)" dataDxfId="10"/>
    <tableColumn id="118" xr3:uid="{2CEFEB4F-E21F-4416-AA49-C6063D9BF60A}" name="NonCov(13)" dataDxfId="9"/>
    <tableColumn id="119" xr3:uid="{CA3C8AE7-D45F-4631-B2DD-D5AD5D2C73C2}" name="NonCov(14)" dataDxfId="8"/>
    <tableColumn id="120" xr3:uid="{4DEDDA97-633E-41AF-AED0-F370217C7A29}" name="NonCov(15)" dataDxfId="7"/>
    <tableColumn id="121" xr3:uid="{45A269E4-F940-481B-B1BB-26752A984CB7}" name="NonCov(16)" dataDxfId="6"/>
    <tableColumn id="122" xr3:uid="{7F3A977E-6ED2-4A17-B3FA-42D81B2DF0D0}" name="NonCov(17)" dataDxfId="5"/>
    <tableColumn id="123" xr3:uid="{1EE7577F-12CB-4458-8B43-525772017D90}" name="NonCov(18)" dataDxfId="4"/>
    <tableColumn id="124" xr3:uid="{5BD6D669-CC6E-4AF7-BBE9-D11395729BF2}" name="NonCov(19)" dataDxfId="3"/>
    <tableColumn id="125" xr3:uid="{BEC69EA4-778C-4A86-A76E-013036985117}" name="NonCov(20)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B3B47-0828-40CD-AC2D-98F8CE789F98}">
  <sheetPr codeName="Sheet4">
    <pageSetUpPr fitToPage="1"/>
  </sheetPr>
  <dimension ref="A2:D27"/>
  <sheetViews>
    <sheetView showGridLines="0" tabSelected="1" view="pageBreakPreview" zoomScaleNormal="100" zoomScaleSheetLayoutView="100" workbookViewId="0">
      <pane ySplit="2" topLeftCell="A9" activePane="bottomLeft" state="frozen"/>
      <selection pane="bottomLeft" activeCell="G17" sqref="G17"/>
    </sheetView>
  </sheetViews>
  <sheetFormatPr defaultRowHeight="17.399999999999999" x14ac:dyDescent="0.4"/>
  <cols>
    <col min="2" max="2" width="8.3984375" bestFit="1" customWidth="1"/>
    <col min="3" max="3" width="9.19921875" bestFit="1" customWidth="1"/>
    <col min="4" max="4" width="20.09765625" style="1" bestFit="1" customWidth="1"/>
  </cols>
  <sheetData>
    <row r="2" spans="1:4" x14ac:dyDescent="0.4">
      <c r="A2" s="10" t="s">
        <v>7</v>
      </c>
      <c r="B2" s="11" t="s">
        <v>6</v>
      </c>
      <c r="C2" s="11" t="s">
        <v>4</v>
      </c>
      <c r="D2" s="12" t="s">
        <v>8</v>
      </c>
    </row>
    <row r="3" spans="1:4" x14ac:dyDescent="0.4">
      <c r="A3" s="3" t="s">
        <v>20</v>
      </c>
      <c r="B3" s="4" t="s">
        <v>2</v>
      </c>
      <c r="C3" s="13">
        <v>1</v>
      </c>
      <c r="D3" s="5"/>
    </row>
    <row r="4" spans="1:4" x14ac:dyDescent="0.4">
      <c r="A4" s="3" t="s">
        <v>21</v>
      </c>
      <c r="B4" s="4" t="s">
        <v>3</v>
      </c>
      <c r="C4" s="13">
        <v>1</v>
      </c>
      <c r="D4" s="5"/>
    </row>
    <row r="5" spans="1:4" x14ac:dyDescent="0.4">
      <c r="A5" s="3" t="s">
        <v>22</v>
      </c>
      <c r="B5" s="4" t="s">
        <v>23</v>
      </c>
      <c r="C5" s="13">
        <v>1</v>
      </c>
      <c r="D5" s="5"/>
    </row>
    <row r="6" spans="1:4" x14ac:dyDescent="0.4">
      <c r="A6" s="3" t="s">
        <v>200</v>
      </c>
      <c r="B6" s="4" t="s">
        <v>201</v>
      </c>
      <c r="C6" s="13">
        <v>0</v>
      </c>
      <c r="D6" s="5"/>
    </row>
    <row r="7" spans="1:4" x14ac:dyDescent="0.4">
      <c r="A7" s="3" t="s">
        <v>202</v>
      </c>
      <c r="B7" s="4" t="s">
        <v>176</v>
      </c>
      <c r="C7" s="13">
        <v>0</v>
      </c>
      <c r="D7" s="5"/>
    </row>
    <row r="8" spans="1:4" x14ac:dyDescent="0.4">
      <c r="A8" s="3" t="s">
        <v>10</v>
      </c>
      <c r="B8" s="4" t="s">
        <v>0</v>
      </c>
      <c r="C8" s="13">
        <v>1</v>
      </c>
      <c r="D8" s="6" t="str">
        <f>IF(C8=1,"男","女")</f>
        <v>男</v>
      </c>
    </row>
    <row r="9" spans="1:4" x14ac:dyDescent="0.4">
      <c r="A9" s="3" t="s">
        <v>9</v>
      </c>
      <c r="B9" s="4" t="s">
        <v>1</v>
      </c>
      <c r="C9" s="13">
        <v>40</v>
      </c>
      <c r="D9" s="6"/>
    </row>
    <row r="10" spans="1:4" x14ac:dyDescent="0.4">
      <c r="A10" s="3" t="s">
        <v>195</v>
      </c>
      <c r="B10" s="4" t="s">
        <v>11</v>
      </c>
      <c r="C10" s="14">
        <v>20</v>
      </c>
      <c r="D10" s="6"/>
    </row>
    <row r="11" spans="1:4" x14ac:dyDescent="0.4">
      <c r="A11" s="3" t="s">
        <v>196</v>
      </c>
      <c r="B11" s="4" t="s">
        <v>12</v>
      </c>
      <c r="C11" s="14">
        <v>2</v>
      </c>
      <c r="D11" s="6" t="s">
        <v>13</v>
      </c>
    </row>
    <row r="12" spans="1:4" x14ac:dyDescent="0.4">
      <c r="A12" s="3" t="s">
        <v>194</v>
      </c>
      <c r="B12" s="4" t="s">
        <v>14</v>
      </c>
      <c r="C12" s="14">
        <v>20</v>
      </c>
      <c r="D12" s="6"/>
    </row>
    <row r="13" spans="1:4" x14ac:dyDescent="0.4">
      <c r="A13" s="3" t="s">
        <v>197</v>
      </c>
      <c r="B13" s="4" t="s">
        <v>15</v>
      </c>
      <c r="C13" s="14">
        <v>2</v>
      </c>
      <c r="D13" s="6"/>
    </row>
    <row r="14" spans="1:4" x14ac:dyDescent="0.4">
      <c r="A14" s="3" t="s">
        <v>16</v>
      </c>
      <c r="B14" s="4" t="s">
        <v>17</v>
      </c>
      <c r="C14" s="18">
        <v>0.1</v>
      </c>
      <c r="D14" s="6"/>
    </row>
    <row r="15" spans="1:4" x14ac:dyDescent="0.4">
      <c r="A15" s="3" t="s">
        <v>18</v>
      </c>
      <c r="B15" s="4" t="s">
        <v>19</v>
      </c>
      <c r="C15" s="14">
        <v>3</v>
      </c>
      <c r="D15" s="6"/>
    </row>
    <row r="16" spans="1:4" x14ac:dyDescent="0.4">
      <c r="A16" s="3" t="s">
        <v>198</v>
      </c>
      <c r="B16" s="7" t="s">
        <v>24</v>
      </c>
      <c r="C16" s="15">
        <v>2.75E-2</v>
      </c>
      <c r="D16" s="6"/>
    </row>
    <row r="17" spans="1:4" x14ac:dyDescent="0.4">
      <c r="A17" s="3" t="s">
        <v>46</v>
      </c>
      <c r="B17" s="7" t="s">
        <v>45</v>
      </c>
      <c r="C17" s="17">
        <v>12</v>
      </c>
      <c r="D17" s="6"/>
    </row>
    <row r="18" spans="1:4" x14ac:dyDescent="0.4">
      <c r="A18" s="8" t="s">
        <v>28</v>
      </c>
      <c r="B18" s="7" t="s">
        <v>38</v>
      </c>
      <c r="C18" s="16"/>
      <c r="D18" s="6"/>
    </row>
    <row r="19" spans="1:4" x14ac:dyDescent="0.4">
      <c r="A19" s="8" t="s">
        <v>29</v>
      </c>
      <c r="B19" s="7" t="s">
        <v>39</v>
      </c>
      <c r="C19" s="16"/>
      <c r="D19" s="6"/>
    </row>
    <row r="20" spans="1:4" x14ac:dyDescent="0.4">
      <c r="A20" s="8" t="s">
        <v>30</v>
      </c>
      <c r="B20" s="7" t="s">
        <v>40</v>
      </c>
      <c r="C20" s="16"/>
      <c r="D20" s="6"/>
    </row>
    <row r="21" spans="1:4" x14ac:dyDescent="0.4">
      <c r="A21" s="8" t="s">
        <v>31</v>
      </c>
      <c r="B21" s="7" t="s">
        <v>41</v>
      </c>
      <c r="C21" s="16"/>
      <c r="D21" s="6"/>
    </row>
    <row r="22" spans="1:4" x14ac:dyDescent="0.4">
      <c r="A22" s="8" t="s">
        <v>32</v>
      </c>
      <c r="B22" s="7" t="s">
        <v>42</v>
      </c>
      <c r="C22" s="16"/>
      <c r="D22" s="6"/>
    </row>
    <row r="23" spans="1:4" x14ac:dyDescent="0.4">
      <c r="A23" s="8" t="s">
        <v>33</v>
      </c>
      <c r="B23" s="7" t="s">
        <v>43</v>
      </c>
      <c r="C23" s="16"/>
      <c r="D23" s="6"/>
    </row>
    <row r="24" spans="1:4" x14ac:dyDescent="0.4">
      <c r="A24" s="8" t="s">
        <v>34</v>
      </c>
      <c r="B24" s="7" t="s">
        <v>44</v>
      </c>
      <c r="C24" s="16"/>
      <c r="D24" s="6"/>
    </row>
    <row r="25" spans="1:4" x14ac:dyDescent="0.4">
      <c r="A25" s="8" t="s">
        <v>35</v>
      </c>
      <c r="B25" s="7" t="s">
        <v>25</v>
      </c>
      <c r="C25" s="16"/>
      <c r="D25" s="6"/>
    </row>
    <row r="26" spans="1:4" x14ac:dyDescent="0.4">
      <c r="A26" s="9" t="s">
        <v>36</v>
      </c>
      <c r="B26" s="7" t="s">
        <v>26</v>
      </c>
      <c r="C26" s="16"/>
      <c r="D26" s="6"/>
    </row>
    <row r="27" spans="1:4" x14ac:dyDescent="0.4">
      <c r="A27" s="9" t="s">
        <v>37</v>
      </c>
      <c r="B27" s="7" t="s">
        <v>27</v>
      </c>
      <c r="C27" s="16"/>
      <c r="D27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D1F1B-004E-4292-B929-AD5B2E496F22}">
  <sheetPr codeName="Sheet5"/>
  <dimension ref="A1"/>
  <sheetViews>
    <sheetView workbookViewId="0">
      <selection activeCell="E16" sqref="E16"/>
    </sheetView>
  </sheetViews>
  <sheetFormatPr defaultRowHeight="17.399999999999999" x14ac:dyDescent="0.4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B7B-48B9-424A-B926-E16DACBFF8E1}">
  <sheetPr codeName="Sheet6"/>
  <dimension ref="A1:T7"/>
  <sheetViews>
    <sheetView workbookViewId="0">
      <pane ySplit="4" topLeftCell="A5" activePane="bottomLeft" state="frozen"/>
      <selection pane="bottomLeft" activeCell="D17" sqref="D17"/>
    </sheetView>
  </sheetViews>
  <sheetFormatPr defaultRowHeight="17.399999999999999" x14ac:dyDescent="0.4"/>
  <cols>
    <col min="1" max="1" width="9.796875" customWidth="1"/>
    <col min="2" max="2" width="16.296875" bestFit="1" customWidth="1"/>
    <col min="5" max="5" width="10.59765625" customWidth="1"/>
    <col min="6" max="6" width="9.796875" customWidth="1"/>
    <col min="8" max="8" width="16.19921875" bestFit="1" customWidth="1"/>
    <col min="10" max="10" width="16.19921875" bestFit="1" customWidth="1"/>
  </cols>
  <sheetData>
    <row r="1" spans="1:20" s="23" customFormat="1" x14ac:dyDescent="0.4">
      <c r="A1" s="2">
        <v>1</v>
      </c>
      <c r="B1" s="2">
        <f>A1+1</f>
        <v>2</v>
      </c>
      <c r="C1" s="2">
        <f t="shared" ref="C1:T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</row>
    <row r="2" spans="1:20" s="23" customForma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s="23" customFormat="1" x14ac:dyDescent="0.4">
      <c r="A3" s="22" t="s">
        <v>199</v>
      </c>
      <c r="B3" s="2"/>
      <c r="C3" s="2"/>
      <c r="D3" s="2"/>
      <c r="E3" s="2"/>
      <c r="F3" s="2"/>
      <c r="G3" s="2"/>
      <c r="H3" s="2" t="s">
        <v>181</v>
      </c>
      <c r="I3" s="2"/>
      <c r="J3" s="2" t="s">
        <v>182</v>
      </c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4">
      <c r="A4" s="19" t="s">
        <v>2</v>
      </c>
      <c r="B4" s="19" t="s">
        <v>48</v>
      </c>
      <c r="C4" s="19" t="s">
        <v>3</v>
      </c>
      <c r="D4" s="19" t="s">
        <v>23</v>
      </c>
      <c r="E4" s="19" t="s">
        <v>177</v>
      </c>
      <c r="F4" s="19" t="s">
        <v>176</v>
      </c>
      <c r="G4" s="19" t="s">
        <v>11</v>
      </c>
      <c r="H4" s="19" t="s">
        <v>178</v>
      </c>
      <c r="I4" s="19" t="s">
        <v>14</v>
      </c>
      <c r="J4" s="19" t="s">
        <v>179</v>
      </c>
      <c r="K4" s="19" t="s">
        <v>38</v>
      </c>
      <c r="L4" s="19" t="s">
        <v>39</v>
      </c>
      <c r="M4" s="19" t="s">
        <v>40</v>
      </c>
      <c r="N4" s="19" t="s">
        <v>41</v>
      </c>
      <c r="O4" s="19" t="s">
        <v>42</v>
      </c>
      <c r="P4" s="19" t="s">
        <v>43</v>
      </c>
      <c r="Q4" s="19" t="s">
        <v>44</v>
      </c>
      <c r="R4" s="19" t="s">
        <v>25</v>
      </c>
      <c r="S4" s="19" t="s">
        <v>26</v>
      </c>
      <c r="T4" s="19" t="s">
        <v>27</v>
      </c>
    </row>
    <row r="5" spans="1:20" x14ac:dyDescent="0.4">
      <c r="A5">
        <v>1</v>
      </c>
      <c r="B5" t="s">
        <v>180</v>
      </c>
      <c r="C5">
        <v>0</v>
      </c>
      <c r="D5">
        <v>0</v>
      </c>
      <c r="E5">
        <v>0</v>
      </c>
      <c r="F5">
        <v>0</v>
      </c>
      <c r="G5">
        <v>80</v>
      </c>
      <c r="H5">
        <v>2</v>
      </c>
      <c r="I5">
        <v>10</v>
      </c>
      <c r="J5">
        <v>1</v>
      </c>
    </row>
    <row r="6" spans="1:20" x14ac:dyDescent="0.4">
      <c r="A6">
        <v>1</v>
      </c>
      <c r="B6" t="s">
        <v>180</v>
      </c>
      <c r="C6">
        <v>0</v>
      </c>
      <c r="D6">
        <v>0</v>
      </c>
      <c r="E6">
        <v>0</v>
      </c>
      <c r="F6">
        <v>0</v>
      </c>
      <c r="G6">
        <v>90</v>
      </c>
      <c r="H6">
        <v>2</v>
      </c>
      <c r="I6">
        <v>10</v>
      </c>
      <c r="J6">
        <v>1</v>
      </c>
    </row>
    <row r="7" spans="1:20" x14ac:dyDescent="0.4">
      <c r="A7">
        <v>1</v>
      </c>
      <c r="B7" t="s">
        <v>180</v>
      </c>
      <c r="C7">
        <v>0</v>
      </c>
      <c r="D7">
        <v>0</v>
      </c>
      <c r="E7">
        <v>0</v>
      </c>
      <c r="F7">
        <v>0</v>
      </c>
      <c r="G7">
        <v>100</v>
      </c>
      <c r="H7">
        <v>2</v>
      </c>
      <c r="I7">
        <v>10</v>
      </c>
      <c r="J7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2CE3-76C8-4937-864C-C8E97DC33015}">
  <sheetPr codeName="Sheet7"/>
  <dimension ref="A1"/>
  <sheetViews>
    <sheetView workbookViewId="0">
      <selection activeCell="D2" sqref="A1:XFD1048576"/>
    </sheetView>
  </sheetViews>
  <sheetFormatPr defaultRowHeight="17.399999999999999" x14ac:dyDescent="0.4"/>
  <sheetData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9FA4B-DE31-4E4E-912F-F5C636781353}">
  <sheetPr codeName="Sheet1"/>
  <dimension ref="A1:P206"/>
  <sheetViews>
    <sheetView workbookViewId="0">
      <pane ySplit="4" topLeftCell="A5" activePane="bottomLeft" state="frozen"/>
      <selection pane="bottomLeft" activeCell="B11" sqref="B11"/>
    </sheetView>
  </sheetViews>
  <sheetFormatPr defaultRowHeight="17.399999999999999" x14ac:dyDescent="0.4"/>
  <cols>
    <col min="1" max="1" width="14.296875" customWidth="1"/>
    <col min="2" max="2" width="16.296875" bestFit="1" customWidth="1"/>
    <col min="3" max="3" width="11.8984375" bestFit="1" customWidth="1"/>
    <col min="4" max="4" width="6.19921875" customWidth="1"/>
    <col min="5" max="5" width="9.796875" customWidth="1"/>
    <col min="6" max="7" width="6.19921875" customWidth="1"/>
    <col min="9" max="10" width="2.69921875" customWidth="1"/>
    <col min="11" max="11" width="8.796875" style="1"/>
    <col min="16" max="16" width="11.19921875" bestFit="1" customWidth="1"/>
  </cols>
  <sheetData>
    <row r="1" spans="1:16" s="2" customFormat="1" x14ac:dyDescent="0.4">
      <c r="A1" s="2">
        <v>1</v>
      </c>
      <c r="B1" s="2">
        <f>A1+1</f>
        <v>2</v>
      </c>
      <c r="C1" s="2">
        <f t="shared" ref="C1:H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</row>
    <row r="2" spans="1:16" s="2" customFormat="1" x14ac:dyDescent="0.4"/>
    <row r="3" spans="1:16" x14ac:dyDescent="0.4">
      <c r="A3" s="21" t="s">
        <v>173</v>
      </c>
    </row>
    <row r="4" spans="1:16" x14ac:dyDescent="0.4">
      <c r="A4" s="20" t="s">
        <v>189</v>
      </c>
      <c r="B4" s="20" t="s">
        <v>188</v>
      </c>
      <c r="C4" s="20" t="s">
        <v>187</v>
      </c>
      <c r="D4" s="20" t="s">
        <v>183</v>
      </c>
      <c r="E4" s="20" t="s">
        <v>184</v>
      </c>
      <c r="F4" s="20" t="s">
        <v>185</v>
      </c>
      <c r="G4" s="20" t="s">
        <v>186</v>
      </c>
      <c r="H4" s="22" t="s">
        <v>4</v>
      </c>
      <c r="K4" s="26" t="s">
        <v>187</v>
      </c>
      <c r="L4" s="26" t="s">
        <v>183</v>
      </c>
      <c r="M4" s="26" t="s">
        <v>184</v>
      </c>
      <c r="N4" s="26" t="s">
        <v>185</v>
      </c>
      <c r="O4" s="26" t="s">
        <v>186</v>
      </c>
      <c r="P4" s="26" t="s">
        <v>8</v>
      </c>
    </row>
    <row r="5" spans="1:16" x14ac:dyDescent="0.4">
      <c r="A5" t="s">
        <v>5</v>
      </c>
      <c r="B5" t="s">
        <v>180</v>
      </c>
      <c r="C5">
        <v>6</v>
      </c>
      <c r="D5">
        <v>1</v>
      </c>
      <c r="E5">
        <v>1</v>
      </c>
      <c r="F5">
        <v>0</v>
      </c>
      <c r="H5">
        <v>0.79828665859726278</v>
      </c>
      <c r="K5" s="27">
        <v>0</v>
      </c>
      <c r="L5" s="25" t="s">
        <v>190</v>
      </c>
      <c r="M5" s="24"/>
      <c r="N5" s="24"/>
      <c r="O5" s="24"/>
      <c r="P5" s="24"/>
    </row>
    <row r="6" spans="1:16" x14ac:dyDescent="0.4">
      <c r="A6" t="s">
        <v>5</v>
      </c>
      <c r="B6" t="s">
        <v>180</v>
      </c>
      <c r="C6">
        <v>6</v>
      </c>
      <c r="D6">
        <v>1</v>
      </c>
      <c r="E6">
        <v>1</v>
      </c>
      <c r="F6">
        <v>1</v>
      </c>
      <c r="H6">
        <v>0.98175762620636042</v>
      </c>
      <c r="K6" s="27">
        <v>1</v>
      </c>
      <c r="L6" s="24" t="s">
        <v>10</v>
      </c>
      <c r="M6" s="24"/>
      <c r="N6" s="24"/>
      <c r="O6" s="24"/>
      <c r="P6" s="24"/>
    </row>
    <row r="7" spans="1:16" x14ac:dyDescent="0.4">
      <c r="A7" t="s">
        <v>5</v>
      </c>
      <c r="B7" t="s">
        <v>180</v>
      </c>
      <c r="C7">
        <v>6</v>
      </c>
      <c r="D7">
        <v>1</v>
      </c>
      <c r="E7">
        <v>1</v>
      </c>
      <c r="F7">
        <v>2</v>
      </c>
      <c r="H7">
        <v>0.86343568420627104</v>
      </c>
      <c r="K7" s="27">
        <v>2</v>
      </c>
      <c r="L7" s="24" t="s">
        <v>191</v>
      </c>
      <c r="M7" s="24"/>
      <c r="N7" s="24"/>
      <c r="O7" s="24"/>
      <c r="P7" s="24"/>
    </row>
    <row r="8" spans="1:16" x14ac:dyDescent="0.4">
      <c r="A8" t="s">
        <v>5</v>
      </c>
      <c r="B8" t="s">
        <v>180</v>
      </c>
      <c r="C8">
        <v>6</v>
      </c>
      <c r="D8">
        <v>1</v>
      </c>
      <c r="E8">
        <v>1</v>
      </c>
      <c r="F8">
        <v>3</v>
      </c>
      <c r="H8">
        <v>0.85234110500690075</v>
      </c>
      <c r="K8" s="27">
        <v>3</v>
      </c>
      <c r="L8" s="24" t="s">
        <v>10</v>
      </c>
      <c r="M8" s="24" t="s">
        <v>191</v>
      </c>
      <c r="N8" s="24"/>
      <c r="O8" s="24"/>
      <c r="P8" s="24"/>
    </row>
    <row r="9" spans="1:16" x14ac:dyDescent="0.4">
      <c r="A9" t="s">
        <v>5</v>
      </c>
      <c r="B9" t="s">
        <v>180</v>
      </c>
      <c r="C9">
        <v>6</v>
      </c>
      <c r="D9">
        <v>1</v>
      </c>
      <c r="E9">
        <v>1</v>
      </c>
      <c r="F9">
        <v>4</v>
      </c>
      <c r="H9">
        <v>0.48019460244541912</v>
      </c>
      <c r="K9" s="27">
        <v>4</v>
      </c>
      <c r="L9" s="24" t="s">
        <v>192</v>
      </c>
      <c r="M9" s="24"/>
      <c r="N9" s="24"/>
      <c r="O9" s="24"/>
      <c r="P9" s="24"/>
    </row>
    <row r="10" spans="1:16" x14ac:dyDescent="0.4">
      <c r="A10" t="s">
        <v>5</v>
      </c>
      <c r="B10" t="s">
        <v>180</v>
      </c>
      <c r="C10">
        <v>6</v>
      </c>
      <c r="D10">
        <v>1</v>
      </c>
      <c r="E10">
        <v>1</v>
      </c>
      <c r="F10">
        <v>5</v>
      </c>
      <c r="H10">
        <v>0.53538806124337801</v>
      </c>
      <c r="K10" s="27">
        <v>5</v>
      </c>
      <c r="L10" s="24" t="s">
        <v>10</v>
      </c>
      <c r="M10" s="24" t="s">
        <v>192</v>
      </c>
      <c r="N10" s="24"/>
      <c r="O10" s="24"/>
      <c r="P10" s="24"/>
    </row>
    <row r="11" spans="1:16" x14ac:dyDescent="0.4">
      <c r="A11" t="s">
        <v>5</v>
      </c>
      <c r="B11" t="s">
        <v>180</v>
      </c>
      <c r="C11">
        <v>6</v>
      </c>
      <c r="D11">
        <v>1</v>
      </c>
      <c r="E11">
        <v>1</v>
      </c>
      <c r="F11">
        <v>6</v>
      </c>
      <c r="H11">
        <v>0.71227371380052829</v>
      </c>
      <c r="K11" s="27">
        <v>6</v>
      </c>
      <c r="L11" s="24" t="s">
        <v>10</v>
      </c>
      <c r="M11" s="24" t="s">
        <v>191</v>
      </c>
      <c r="N11" s="24" t="s">
        <v>192</v>
      </c>
      <c r="O11" s="24"/>
      <c r="P11" s="24"/>
    </row>
    <row r="12" spans="1:16" x14ac:dyDescent="0.4">
      <c r="A12" t="s">
        <v>5</v>
      </c>
      <c r="B12" t="s">
        <v>180</v>
      </c>
      <c r="C12">
        <v>6</v>
      </c>
      <c r="D12">
        <v>1</v>
      </c>
      <c r="E12">
        <v>1</v>
      </c>
      <c r="F12">
        <v>7</v>
      </c>
      <c r="H12">
        <v>0.19900012283064872</v>
      </c>
    </row>
    <row r="13" spans="1:16" x14ac:dyDescent="0.4">
      <c r="A13" t="s">
        <v>5</v>
      </c>
      <c r="B13" t="s">
        <v>180</v>
      </c>
      <c r="C13">
        <v>6</v>
      </c>
      <c r="D13">
        <v>1</v>
      </c>
      <c r="E13">
        <v>1</v>
      </c>
      <c r="F13">
        <v>8</v>
      </c>
      <c r="H13">
        <v>0.64926222823029645</v>
      </c>
    </row>
    <row r="14" spans="1:16" x14ac:dyDescent="0.4">
      <c r="A14" t="s">
        <v>5</v>
      </c>
      <c r="B14" t="s">
        <v>180</v>
      </c>
      <c r="C14">
        <v>6</v>
      </c>
      <c r="D14">
        <v>1</v>
      </c>
      <c r="E14">
        <v>1</v>
      </c>
      <c r="F14">
        <v>9</v>
      </c>
      <c r="H14">
        <v>0.43378279006039155</v>
      </c>
    </row>
    <row r="15" spans="1:16" x14ac:dyDescent="0.4">
      <c r="A15" t="s">
        <v>5</v>
      </c>
      <c r="B15" t="s">
        <v>180</v>
      </c>
      <c r="C15">
        <v>6</v>
      </c>
      <c r="D15">
        <v>1</v>
      </c>
      <c r="E15">
        <v>1</v>
      </c>
      <c r="F15">
        <v>10</v>
      </c>
      <c r="H15">
        <v>0.51632341995715914</v>
      </c>
    </row>
    <row r="16" spans="1:16" x14ac:dyDescent="0.4">
      <c r="A16" t="s">
        <v>5</v>
      </c>
      <c r="B16" t="s">
        <v>180</v>
      </c>
      <c r="C16">
        <v>6</v>
      </c>
      <c r="D16">
        <v>1</v>
      </c>
      <c r="E16">
        <v>1</v>
      </c>
      <c r="F16">
        <v>11</v>
      </c>
      <c r="H16">
        <v>0.40602142737004865</v>
      </c>
    </row>
    <row r="17" spans="1:8" x14ac:dyDescent="0.4">
      <c r="A17" t="s">
        <v>5</v>
      </c>
      <c r="B17" t="s">
        <v>180</v>
      </c>
      <c r="C17">
        <v>6</v>
      </c>
      <c r="D17">
        <v>1</v>
      </c>
      <c r="E17">
        <v>1</v>
      </c>
      <c r="F17">
        <v>12</v>
      </c>
      <c r="H17">
        <v>4.0203521413618604E-2</v>
      </c>
    </row>
    <row r="18" spans="1:8" x14ac:dyDescent="0.4">
      <c r="A18" t="s">
        <v>5</v>
      </c>
      <c r="B18" t="s">
        <v>180</v>
      </c>
      <c r="C18">
        <v>6</v>
      </c>
      <c r="D18">
        <v>1</v>
      </c>
      <c r="E18">
        <v>1</v>
      </c>
      <c r="F18">
        <v>13</v>
      </c>
      <c r="H18">
        <v>0.40041452519586807</v>
      </c>
    </row>
    <row r="19" spans="1:8" x14ac:dyDescent="0.4">
      <c r="A19" t="s">
        <v>5</v>
      </c>
      <c r="B19" t="s">
        <v>180</v>
      </c>
      <c r="C19">
        <v>6</v>
      </c>
      <c r="D19">
        <v>1</v>
      </c>
      <c r="E19">
        <v>1</v>
      </c>
      <c r="F19">
        <v>14</v>
      </c>
      <c r="H19">
        <v>0.1651768608507983</v>
      </c>
    </row>
    <row r="20" spans="1:8" x14ac:dyDescent="0.4">
      <c r="A20" t="s">
        <v>5</v>
      </c>
      <c r="B20" t="s">
        <v>180</v>
      </c>
      <c r="C20">
        <v>6</v>
      </c>
      <c r="D20">
        <v>1</v>
      </c>
      <c r="E20">
        <v>1</v>
      </c>
      <c r="F20">
        <v>15</v>
      </c>
      <c r="H20">
        <v>2.9147030759144599E-2</v>
      </c>
    </row>
    <row r="21" spans="1:8" x14ac:dyDescent="0.4">
      <c r="A21" t="s">
        <v>5</v>
      </c>
      <c r="B21" t="s">
        <v>180</v>
      </c>
      <c r="C21">
        <v>6</v>
      </c>
      <c r="D21">
        <v>1</v>
      </c>
      <c r="E21">
        <v>1</v>
      </c>
      <c r="F21">
        <v>16</v>
      </c>
      <c r="H21">
        <v>0.90411239877593474</v>
      </c>
    </row>
    <row r="22" spans="1:8" x14ac:dyDescent="0.4">
      <c r="A22" t="s">
        <v>5</v>
      </c>
      <c r="B22" t="s">
        <v>180</v>
      </c>
      <c r="C22">
        <v>6</v>
      </c>
      <c r="D22">
        <v>1</v>
      </c>
      <c r="E22">
        <v>1</v>
      </c>
      <c r="F22">
        <v>17</v>
      </c>
      <c r="H22">
        <v>7.7926625216796275E-2</v>
      </c>
    </row>
    <row r="23" spans="1:8" x14ac:dyDescent="0.4">
      <c r="A23" t="s">
        <v>5</v>
      </c>
      <c r="B23" t="s">
        <v>180</v>
      </c>
      <c r="C23">
        <v>6</v>
      </c>
      <c r="D23">
        <v>1</v>
      </c>
      <c r="E23">
        <v>1</v>
      </c>
      <c r="F23">
        <v>18</v>
      </c>
      <c r="H23">
        <v>0.77145041564273165</v>
      </c>
    </row>
    <row r="24" spans="1:8" x14ac:dyDescent="0.4">
      <c r="A24" t="s">
        <v>5</v>
      </c>
      <c r="B24" t="s">
        <v>180</v>
      </c>
      <c r="C24">
        <v>6</v>
      </c>
      <c r="D24">
        <v>1</v>
      </c>
      <c r="E24">
        <v>1</v>
      </c>
      <c r="F24">
        <v>19</v>
      </c>
      <c r="H24">
        <v>0.3554211351239267</v>
      </c>
    </row>
    <row r="25" spans="1:8" x14ac:dyDescent="0.4">
      <c r="A25" t="s">
        <v>5</v>
      </c>
      <c r="B25" t="s">
        <v>180</v>
      </c>
      <c r="C25">
        <v>6</v>
      </c>
      <c r="D25">
        <v>1</v>
      </c>
      <c r="E25">
        <v>1</v>
      </c>
      <c r="F25">
        <v>20</v>
      </c>
      <c r="H25">
        <v>0.7739781984334082</v>
      </c>
    </row>
    <row r="26" spans="1:8" x14ac:dyDescent="0.4">
      <c r="A26" t="s">
        <v>5</v>
      </c>
      <c r="B26" t="s">
        <v>180</v>
      </c>
      <c r="C26">
        <v>6</v>
      </c>
      <c r="D26">
        <v>1</v>
      </c>
      <c r="E26">
        <v>1</v>
      </c>
      <c r="F26">
        <v>21</v>
      </c>
      <c r="H26">
        <v>0.46894804542406621</v>
      </c>
    </row>
    <row r="27" spans="1:8" x14ac:dyDescent="0.4">
      <c r="A27" t="s">
        <v>5</v>
      </c>
      <c r="B27" t="s">
        <v>180</v>
      </c>
      <c r="C27">
        <v>6</v>
      </c>
      <c r="D27">
        <v>1</v>
      </c>
      <c r="E27">
        <v>1</v>
      </c>
      <c r="F27">
        <v>22</v>
      </c>
      <c r="H27">
        <v>5.3724818350151415E-2</v>
      </c>
    </row>
    <row r="28" spans="1:8" x14ac:dyDescent="0.4">
      <c r="A28" t="s">
        <v>5</v>
      </c>
      <c r="B28" t="s">
        <v>180</v>
      </c>
      <c r="C28">
        <v>6</v>
      </c>
      <c r="D28">
        <v>1</v>
      </c>
      <c r="E28">
        <v>1</v>
      </c>
      <c r="F28">
        <v>23</v>
      </c>
      <c r="H28">
        <v>0.84863253695689256</v>
      </c>
    </row>
    <row r="29" spans="1:8" x14ac:dyDescent="0.4">
      <c r="A29" t="s">
        <v>5</v>
      </c>
      <c r="B29" t="s">
        <v>180</v>
      </c>
      <c r="C29">
        <v>6</v>
      </c>
      <c r="D29">
        <v>1</v>
      </c>
      <c r="E29">
        <v>1</v>
      </c>
      <c r="F29">
        <v>24</v>
      </c>
      <c r="H29">
        <v>0.16991908595437655</v>
      </c>
    </row>
    <row r="30" spans="1:8" x14ac:dyDescent="0.4">
      <c r="A30" t="s">
        <v>5</v>
      </c>
      <c r="B30" t="s">
        <v>180</v>
      </c>
      <c r="C30">
        <v>6</v>
      </c>
      <c r="D30">
        <v>1</v>
      </c>
      <c r="E30">
        <v>1</v>
      </c>
      <c r="F30">
        <v>25</v>
      </c>
      <c r="H30">
        <v>0.85544558958932559</v>
      </c>
    </row>
    <row r="31" spans="1:8" x14ac:dyDescent="0.4">
      <c r="A31" t="s">
        <v>5</v>
      </c>
      <c r="B31" t="s">
        <v>180</v>
      </c>
      <c r="C31">
        <v>6</v>
      </c>
      <c r="D31">
        <v>1</v>
      </c>
      <c r="E31">
        <v>1</v>
      </c>
      <c r="F31">
        <v>26</v>
      </c>
      <c r="H31">
        <v>0.83104501461807867</v>
      </c>
    </row>
    <row r="32" spans="1:8" x14ac:dyDescent="0.4">
      <c r="A32" t="s">
        <v>5</v>
      </c>
      <c r="B32" t="s">
        <v>180</v>
      </c>
      <c r="C32">
        <v>6</v>
      </c>
      <c r="D32">
        <v>1</v>
      </c>
      <c r="E32">
        <v>1</v>
      </c>
      <c r="F32">
        <v>27</v>
      </c>
      <c r="H32">
        <v>0.99313346503432787</v>
      </c>
    </row>
    <row r="33" spans="1:8" x14ac:dyDescent="0.4">
      <c r="A33" t="s">
        <v>5</v>
      </c>
      <c r="B33" t="s">
        <v>180</v>
      </c>
      <c r="C33">
        <v>6</v>
      </c>
      <c r="D33">
        <v>1</v>
      </c>
      <c r="E33">
        <v>1</v>
      </c>
      <c r="F33">
        <v>28</v>
      </c>
      <c r="H33">
        <v>0.5353950062190328</v>
      </c>
    </row>
    <row r="34" spans="1:8" x14ac:dyDescent="0.4">
      <c r="A34" t="s">
        <v>5</v>
      </c>
      <c r="B34" t="s">
        <v>180</v>
      </c>
      <c r="C34">
        <v>6</v>
      </c>
      <c r="D34">
        <v>1</v>
      </c>
      <c r="E34">
        <v>1</v>
      </c>
      <c r="F34">
        <v>29</v>
      </c>
      <c r="H34">
        <v>0.31375674256039743</v>
      </c>
    </row>
    <row r="35" spans="1:8" x14ac:dyDescent="0.4">
      <c r="A35" t="s">
        <v>5</v>
      </c>
      <c r="B35" t="s">
        <v>180</v>
      </c>
      <c r="C35">
        <v>6</v>
      </c>
      <c r="D35">
        <v>1</v>
      </c>
      <c r="E35">
        <v>1</v>
      </c>
      <c r="F35">
        <v>30</v>
      </c>
      <c r="H35">
        <v>0.33595222664918378</v>
      </c>
    </row>
    <row r="36" spans="1:8" x14ac:dyDescent="0.4">
      <c r="A36" t="s">
        <v>5</v>
      </c>
      <c r="B36" t="s">
        <v>180</v>
      </c>
      <c r="C36">
        <v>6</v>
      </c>
      <c r="D36">
        <v>1</v>
      </c>
      <c r="E36">
        <v>1</v>
      </c>
      <c r="F36">
        <v>31</v>
      </c>
      <c r="H36">
        <v>5.9983734914569431E-2</v>
      </c>
    </row>
    <row r="37" spans="1:8" x14ac:dyDescent="0.4">
      <c r="A37" t="s">
        <v>5</v>
      </c>
      <c r="B37" t="s">
        <v>180</v>
      </c>
      <c r="C37">
        <v>6</v>
      </c>
      <c r="D37">
        <v>1</v>
      </c>
      <c r="E37">
        <v>1</v>
      </c>
      <c r="F37">
        <v>32</v>
      </c>
      <c r="H37">
        <v>0.70454241173572518</v>
      </c>
    </row>
    <row r="38" spans="1:8" x14ac:dyDescent="0.4">
      <c r="A38" t="s">
        <v>5</v>
      </c>
      <c r="B38" t="s">
        <v>180</v>
      </c>
      <c r="C38">
        <v>6</v>
      </c>
      <c r="D38">
        <v>1</v>
      </c>
      <c r="E38">
        <v>1</v>
      </c>
      <c r="F38">
        <v>33</v>
      </c>
      <c r="H38">
        <v>0.80096046446325164</v>
      </c>
    </row>
    <row r="39" spans="1:8" x14ac:dyDescent="0.4">
      <c r="A39" t="s">
        <v>5</v>
      </c>
      <c r="B39" t="s">
        <v>180</v>
      </c>
      <c r="C39">
        <v>6</v>
      </c>
      <c r="D39">
        <v>1</v>
      </c>
      <c r="E39">
        <v>1</v>
      </c>
      <c r="F39">
        <v>34</v>
      </c>
      <c r="H39">
        <v>0.43855803811766803</v>
      </c>
    </row>
    <row r="40" spans="1:8" x14ac:dyDescent="0.4">
      <c r="A40" t="s">
        <v>5</v>
      </c>
      <c r="B40" t="s">
        <v>180</v>
      </c>
      <c r="C40">
        <v>6</v>
      </c>
      <c r="D40">
        <v>1</v>
      </c>
      <c r="E40">
        <v>1</v>
      </c>
      <c r="F40">
        <v>35</v>
      </c>
      <c r="H40">
        <v>0.63720212940958754</v>
      </c>
    </row>
    <row r="41" spans="1:8" x14ac:dyDescent="0.4">
      <c r="A41" t="s">
        <v>5</v>
      </c>
      <c r="B41" t="s">
        <v>180</v>
      </c>
      <c r="C41">
        <v>6</v>
      </c>
      <c r="D41">
        <v>1</v>
      </c>
      <c r="E41">
        <v>1</v>
      </c>
      <c r="F41">
        <v>36</v>
      </c>
      <c r="H41">
        <v>0.28004793763451341</v>
      </c>
    </row>
    <row r="42" spans="1:8" x14ac:dyDescent="0.4">
      <c r="A42" t="s">
        <v>5</v>
      </c>
      <c r="B42" t="s">
        <v>180</v>
      </c>
      <c r="C42">
        <v>6</v>
      </c>
      <c r="D42">
        <v>1</v>
      </c>
      <c r="E42">
        <v>1</v>
      </c>
      <c r="F42">
        <v>37</v>
      </c>
      <c r="H42">
        <v>0.79608894991727797</v>
      </c>
    </row>
    <row r="43" spans="1:8" x14ac:dyDescent="0.4">
      <c r="A43" t="s">
        <v>5</v>
      </c>
      <c r="B43" t="s">
        <v>180</v>
      </c>
      <c r="C43">
        <v>6</v>
      </c>
      <c r="D43">
        <v>1</v>
      </c>
      <c r="E43">
        <v>1</v>
      </c>
      <c r="F43">
        <v>38</v>
      </c>
      <c r="H43">
        <v>0.68012146577643073</v>
      </c>
    </row>
    <row r="44" spans="1:8" x14ac:dyDescent="0.4">
      <c r="A44" t="s">
        <v>5</v>
      </c>
      <c r="B44" t="s">
        <v>180</v>
      </c>
      <c r="C44">
        <v>6</v>
      </c>
      <c r="D44">
        <v>1</v>
      </c>
      <c r="E44">
        <v>1</v>
      </c>
      <c r="F44">
        <v>39</v>
      </c>
      <c r="H44">
        <v>0.8579225225717797</v>
      </c>
    </row>
    <row r="45" spans="1:8" x14ac:dyDescent="0.4">
      <c r="A45" t="s">
        <v>5</v>
      </c>
      <c r="B45" t="s">
        <v>180</v>
      </c>
      <c r="C45">
        <v>6</v>
      </c>
      <c r="D45">
        <v>1</v>
      </c>
      <c r="E45">
        <v>1</v>
      </c>
      <c r="F45">
        <v>40</v>
      </c>
      <c r="H45">
        <v>0.86613535120633445</v>
      </c>
    </row>
    <row r="46" spans="1:8" x14ac:dyDescent="0.4">
      <c r="A46" t="s">
        <v>5</v>
      </c>
      <c r="B46" t="s">
        <v>180</v>
      </c>
      <c r="C46">
        <v>6</v>
      </c>
      <c r="D46">
        <v>1</v>
      </c>
      <c r="E46">
        <v>1</v>
      </c>
      <c r="F46">
        <v>41</v>
      </c>
      <c r="H46">
        <v>0.68415721957480236</v>
      </c>
    </row>
    <row r="47" spans="1:8" x14ac:dyDescent="0.4">
      <c r="A47" t="s">
        <v>5</v>
      </c>
      <c r="B47" t="s">
        <v>180</v>
      </c>
      <c r="C47">
        <v>6</v>
      </c>
      <c r="D47">
        <v>1</v>
      </c>
      <c r="E47">
        <v>1</v>
      </c>
      <c r="F47">
        <v>42</v>
      </c>
      <c r="H47">
        <v>0.92155522918494681</v>
      </c>
    </row>
    <row r="48" spans="1:8" x14ac:dyDescent="0.4">
      <c r="A48" t="s">
        <v>5</v>
      </c>
      <c r="B48" t="s">
        <v>180</v>
      </c>
      <c r="C48">
        <v>6</v>
      </c>
      <c r="D48">
        <v>1</v>
      </c>
      <c r="E48">
        <v>1</v>
      </c>
      <c r="F48">
        <v>43</v>
      </c>
      <c r="H48">
        <v>0.84337727903012327</v>
      </c>
    </row>
    <row r="49" spans="1:8" x14ac:dyDescent="0.4">
      <c r="A49" t="s">
        <v>5</v>
      </c>
      <c r="B49" t="s">
        <v>180</v>
      </c>
      <c r="C49">
        <v>6</v>
      </c>
      <c r="D49">
        <v>1</v>
      </c>
      <c r="E49">
        <v>1</v>
      </c>
      <c r="F49">
        <v>44</v>
      </c>
      <c r="H49">
        <v>0.50252653035943973</v>
      </c>
    </row>
    <row r="50" spans="1:8" x14ac:dyDescent="0.4">
      <c r="A50" t="s">
        <v>5</v>
      </c>
      <c r="B50" t="s">
        <v>180</v>
      </c>
      <c r="C50">
        <v>6</v>
      </c>
      <c r="D50">
        <v>1</v>
      </c>
      <c r="E50">
        <v>1</v>
      </c>
      <c r="F50">
        <v>45</v>
      </c>
      <c r="H50">
        <v>0.35555549071851145</v>
      </c>
    </row>
    <row r="51" spans="1:8" x14ac:dyDescent="0.4">
      <c r="A51" t="s">
        <v>5</v>
      </c>
      <c r="B51" t="s">
        <v>180</v>
      </c>
      <c r="C51">
        <v>6</v>
      </c>
      <c r="D51">
        <v>1</v>
      </c>
      <c r="E51">
        <v>1</v>
      </c>
      <c r="F51">
        <v>46</v>
      </c>
      <c r="H51">
        <v>0.3708574047709372</v>
      </c>
    </row>
    <row r="52" spans="1:8" x14ac:dyDescent="0.4">
      <c r="A52" t="s">
        <v>5</v>
      </c>
      <c r="B52" t="s">
        <v>180</v>
      </c>
      <c r="C52">
        <v>6</v>
      </c>
      <c r="D52">
        <v>1</v>
      </c>
      <c r="E52">
        <v>1</v>
      </c>
      <c r="F52">
        <v>47</v>
      </c>
      <c r="H52">
        <v>0.13603339000528381</v>
      </c>
    </row>
    <row r="53" spans="1:8" x14ac:dyDescent="0.4">
      <c r="A53" t="s">
        <v>5</v>
      </c>
      <c r="B53" t="s">
        <v>180</v>
      </c>
      <c r="C53">
        <v>6</v>
      </c>
      <c r="D53">
        <v>1</v>
      </c>
      <c r="E53">
        <v>1</v>
      </c>
      <c r="F53">
        <v>48</v>
      </c>
      <c r="H53">
        <v>0.47248643816818803</v>
      </c>
    </row>
    <row r="54" spans="1:8" x14ac:dyDescent="0.4">
      <c r="A54" t="s">
        <v>5</v>
      </c>
      <c r="B54" t="s">
        <v>180</v>
      </c>
      <c r="C54">
        <v>6</v>
      </c>
      <c r="D54">
        <v>1</v>
      </c>
      <c r="E54">
        <v>1</v>
      </c>
      <c r="F54">
        <v>49</v>
      </c>
      <c r="H54">
        <v>0.78792552665063043</v>
      </c>
    </row>
    <row r="55" spans="1:8" x14ac:dyDescent="0.4">
      <c r="A55" t="s">
        <v>5</v>
      </c>
      <c r="B55" t="s">
        <v>180</v>
      </c>
      <c r="C55">
        <v>6</v>
      </c>
      <c r="D55">
        <v>1</v>
      </c>
      <c r="E55">
        <v>1</v>
      </c>
      <c r="F55">
        <v>50</v>
      </c>
      <c r="H55">
        <v>0.7196305189110267</v>
      </c>
    </row>
    <row r="56" spans="1:8" x14ac:dyDescent="0.4">
      <c r="A56" t="s">
        <v>5</v>
      </c>
      <c r="B56" t="s">
        <v>180</v>
      </c>
      <c r="C56">
        <v>6</v>
      </c>
      <c r="D56">
        <v>1</v>
      </c>
      <c r="E56">
        <v>1</v>
      </c>
      <c r="F56">
        <v>51</v>
      </c>
      <c r="H56">
        <v>0.65998751700881375</v>
      </c>
    </row>
    <row r="57" spans="1:8" x14ac:dyDescent="0.4">
      <c r="A57" t="s">
        <v>5</v>
      </c>
      <c r="B57" t="s">
        <v>180</v>
      </c>
      <c r="C57">
        <v>6</v>
      </c>
      <c r="D57">
        <v>1</v>
      </c>
      <c r="E57">
        <v>1</v>
      </c>
      <c r="F57">
        <v>52</v>
      </c>
      <c r="H57">
        <v>0.89841884431682062</v>
      </c>
    </row>
    <row r="58" spans="1:8" x14ac:dyDescent="0.4">
      <c r="A58" t="s">
        <v>5</v>
      </c>
      <c r="B58" t="s">
        <v>180</v>
      </c>
      <c r="C58">
        <v>6</v>
      </c>
      <c r="D58">
        <v>1</v>
      </c>
      <c r="E58">
        <v>1</v>
      </c>
      <c r="F58">
        <v>53</v>
      </c>
      <c r="H58">
        <v>0.21213444908196299</v>
      </c>
    </row>
    <row r="59" spans="1:8" x14ac:dyDescent="0.4">
      <c r="A59" t="s">
        <v>5</v>
      </c>
      <c r="B59" t="s">
        <v>180</v>
      </c>
      <c r="C59">
        <v>6</v>
      </c>
      <c r="D59">
        <v>1</v>
      </c>
      <c r="E59">
        <v>1</v>
      </c>
      <c r="F59">
        <v>54</v>
      </c>
      <c r="H59">
        <v>0.75011971922924192</v>
      </c>
    </row>
    <row r="60" spans="1:8" x14ac:dyDescent="0.4">
      <c r="A60" t="s">
        <v>5</v>
      </c>
      <c r="B60" t="s">
        <v>180</v>
      </c>
      <c r="C60">
        <v>6</v>
      </c>
      <c r="D60">
        <v>1</v>
      </c>
      <c r="E60">
        <v>1</v>
      </c>
      <c r="F60">
        <v>55</v>
      </c>
      <c r="H60">
        <v>0.26264713332572365</v>
      </c>
    </row>
    <row r="61" spans="1:8" x14ac:dyDescent="0.4">
      <c r="A61" t="s">
        <v>5</v>
      </c>
      <c r="B61" t="s">
        <v>180</v>
      </c>
      <c r="C61">
        <v>6</v>
      </c>
      <c r="D61">
        <v>1</v>
      </c>
      <c r="E61">
        <v>1</v>
      </c>
      <c r="F61">
        <v>56</v>
      </c>
      <c r="H61">
        <v>0.69097548971915412</v>
      </c>
    </row>
    <row r="62" spans="1:8" x14ac:dyDescent="0.4">
      <c r="A62" t="s">
        <v>5</v>
      </c>
      <c r="B62" t="s">
        <v>180</v>
      </c>
      <c r="C62">
        <v>6</v>
      </c>
      <c r="D62">
        <v>1</v>
      </c>
      <c r="E62">
        <v>1</v>
      </c>
      <c r="F62">
        <v>57</v>
      </c>
      <c r="H62">
        <v>0.83147974126106416</v>
      </c>
    </row>
    <row r="63" spans="1:8" x14ac:dyDescent="0.4">
      <c r="A63" t="s">
        <v>5</v>
      </c>
      <c r="B63" t="s">
        <v>180</v>
      </c>
      <c r="C63">
        <v>6</v>
      </c>
      <c r="D63">
        <v>1</v>
      </c>
      <c r="E63">
        <v>1</v>
      </c>
      <c r="F63">
        <v>58</v>
      </c>
      <c r="H63">
        <v>5.4492605009584749E-2</v>
      </c>
    </row>
    <row r="64" spans="1:8" x14ac:dyDescent="0.4">
      <c r="A64" t="s">
        <v>5</v>
      </c>
      <c r="B64" t="s">
        <v>180</v>
      </c>
      <c r="C64">
        <v>6</v>
      </c>
      <c r="D64">
        <v>1</v>
      </c>
      <c r="E64">
        <v>1</v>
      </c>
      <c r="F64">
        <v>59</v>
      </c>
      <c r="H64">
        <v>0.73873473742151141</v>
      </c>
    </row>
    <row r="65" spans="1:8" x14ac:dyDescent="0.4">
      <c r="A65" t="s">
        <v>5</v>
      </c>
      <c r="B65" t="s">
        <v>180</v>
      </c>
      <c r="C65">
        <v>6</v>
      </c>
      <c r="D65">
        <v>1</v>
      </c>
      <c r="E65">
        <v>1</v>
      </c>
      <c r="F65">
        <v>60</v>
      </c>
      <c r="H65">
        <v>2.5747061378491587E-3</v>
      </c>
    </row>
    <row r="66" spans="1:8" x14ac:dyDescent="0.4">
      <c r="A66" t="s">
        <v>5</v>
      </c>
      <c r="B66" t="s">
        <v>180</v>
      </c>
      <c r="C66">
        <v>6</v>
      </c>
      <c r="D66">
        <v>1</v>
      </c>
      <c r="E66">
        <v>1</v>
      </c>
      <c r="F66">
        <v>61</v>
      </c>
      <c r="H66">
        <v>0.28148739947406698</v>
      </c>
    </row>
    <row r="67" spans="1:8" x14ac:dyDescent="0.4">
      <c r="A67" t="s">
        <v>5</v>
      </c>
      <c r="B67" t="s">
        <v>180</v>
      </c>
      <c r="C67">
        <v>6</v>
      </c>
      <c r="D67">
        <v>1</v>
      </c>
      <c r="E67">
        <v>1</v>
      </c>
      <c r="F67">
        <v>62</v>
      </c>
      <c r="H67">
        <v>0.26161006068280035</v>
      </c>
    </row>
    <row r="68" spans="1:8" x14ac:dyDescent="0.4">
      <c r="A68" t="s">
        <v>5</v>
      </c>
      <c r="B68" t="s">
        <v>180</v>
      </c>
      <c r="C68">
        <v>6</v>
      </c>
      <c r="D68">
        <v>1</v>
      </c>
      <c r="E68">
        <v>1</v>
      </c>
      <c r="F68">
        <v>63</v>
      </c>
      <c r="H68">
        <v>0.6720141269767167</v>
      </c>
    </row>
    <row r="69" spans="1:8" x14ac:dyDescent="0.4">
      <c r="A69" t="s">
        <v>5</v>
      </c>
      <c r="B69" t="s">
        <v>180</v>
      </c>
      <c r="C69">
        <v>6</v>
      </c>
      <c r="D69">
        <v>1</v>
      </c>
      <c r="E69">
        <v>1</v>
      </c>
      <c r="F69">
        <v>64</v>
      </c>
      <c r="H69">
        <v>0.21384000698313732</v>
      </c>
    </row>
    <row r="70" spans="1:8" x14ac:dyDescent="0.4">
      <c r="A70" t="s">
        <v>5</v>
      </c>
      <c r="B70" t="s">
        <v>180</v>
      </c>
      <c r="C70">
        <v>6</v>
      </c>
      <c r="D70">
        <v>1</v>
      </c>
      <c r="E70">
        <v>1</v>
      </c>
      <c r="F70">
        <v>65</v>
      </c>
      <c r="H70">
        <v>3.7642204645359723E-2</v>
      </c>
    </row>
    <row r="71" spans="1:8" x14ac:dyDescent="0.4">
      <c r="A71" t="s">
        <v>5</v>
      </c>
      <c r="B71" t="s">
        <v>180</v>
      </c>
      <c r="C71">
        <v>6</v>
      </c>
      <c r="D71">
        <v>1</v>
      </c>
      <c r="E71">
        <v>1</v>
      </c>
      <c r="F71">
        <v>66</v>
      </c>
      <c r="H71">
        <v>0.85695393426346789</v>
      </c>
    </row>
    <row r="72" spans="1:8" x14ac:dyDescent="0.4">
      <c r="A72" t="s">
        <v>5</v>
      </c>
      <c r="B72" t="s">
        <v>180</v>
      </c>
      <c r="C72">
        <v>6</v>
      </c>
      <c r="D72">
        <v>1</v>
      </c>
      <c r="E72">
        <v>1</v>
      </c>
      <c r="F72">
        <v>67</v>
      </c>
      <c r="H72">
        <v>0.14499069570738476</v>
      </c>
    </row>
    <row r="73" spans="1:8" x14ac:dyDescent="0.4">
      <c r="A73" t="s">
        <v>5</v>
      </c>
      <c r="B73" t="s">
        <v>180</v>
      </c>
      <c r="C73">
        <v>6</v>
      </c>
      <c r="D73">
        <v>1</v>
      </c>
      <c r="E73">
        <v>1</v>
      </c>
      <c r="F73">
        <v>68</v>
      </c>
      <c r="H73">
        <v>0.64298312824026982</v>
      </c>
    </row>
    <row r="74" spans="1:8" x14ac:dyDescent="0.4">
      <c r="A74" t="s">
        <v>5</v>
      </c>
      <c r="B74" t="s">
        <v>180</v>
      </c>
      <c r="C74">
        <v>6</v>
      </c>
      <c r="D74">
        <v>1</v>
      </c>
      <c r="E74">
        <v>1</v>
      </c>
      <c r="F74">
        <v>69</v>
      </c>
      <c r="H74">
        <v>0.76699605138783999</v>
      </c>
    </row>
    <row r="75" spans="1:8" x14ac:dyDescent="0.4">
      <c r="A75" t="s">
        <v>5</v>
      </c>
      <c r="B75" t="s">
        <v>180</v>
      </c>
      <c r="C75">
        <v>6</v>
      </c>
      <c r="D75">
        <v>1</v>
      </c>
      <c r="E75">
        <v>1</v>
      </c>
      <c r="F75">
        <v>70</v>
      </c>
      <c r="H75">
        <v>0.8318180265248436</v>
      </c>
    </row>
    <row r="76" spans="1:8" x14ac:dyDescent="0.4">
      <c r="A76" t="s">
        <v>5</v>
      </c>
      <c r="B76" t="s">
        <v>180</v>
      </c>
      <c r="C76">
        <v>6</v>
      </c>
      <c r="D76">
        <v>1</v>
      </c>
      <c r="E76">
        <v>1</v>
      </c>
      <c r="F76">
        <v>71</v>
      </c>
      <c r="H76">
        <v>0.6175614449787048</v>
      </c>
    </row>
    <row r="77" spans="1:8" x14ac:dyDescent="0.4">
      <c r="A77" t="s">
        <v>5</v>
      </c>
      <c r="B77" t="s">
        <v>180</v>
      </c>
      <c r="C77">
        <v>6</v>
      </c>
      <c r="D77">
        <v>1</v>
      </c>
      <c r="E77">
        <v>1</v>
      </c>
      <c r="F77">
        <v>72</v>
      </c>
      <c r="H77">
        <v>0.37945629691029836</v>
      </c>
    </row>
    <row r="78" spans="1:8" x14ac:dyDescent="0.4">
      <c r="A78" t="s">
        <v>5</v>
      </c>
      <c r="B78" t="s">
        <v>180</v>
      </c>
      <c r="C78">
        <v>6</v>
      </c>
      <c r="D78">
        <v>1</v>
      </c>
      <c r="E78">
        <v>1</v>
      </c>
      <c r="F78">
        <v>73</v>
      </c>
      <c r="H78">
        <v>4.8908093711280132E-2</v>
      </c>
    </row>
    <row r="79" spans="1:8" x14ac:dyDescent="0.4">
      <c r="A79" t="s">
        <v>5</v>
      </c>
      <c r="B79" t="s">
        <v>180</v>
      </c>
      <c r="C79">
        <v>6</v>
      </c>
      <c r="D79">
        <v>1</v>
      </c>
      <c r="E79">
        <v>1</v>
      </c>
      <c r="F79">
        <v>74</v>
      </c>
      <c r="H79">
        <v>0.65413904531621614</v>
      </c>
    </row>
    <row r="80" spans="1:8" x14ac:dyDescent="0.4">
      <c r="A80" t="s">
        <v>5</v>
      </c>
      <c r="B80" t="s">
        <v>180</v>
      </c>
      <c r="C80">
        <v>6</v>
      </c>
      <c r="D80">
        <v>1</v>
      </c>
      <c r="E80">
        <v>1</v>
      </c>
      <c r="F80">
        <v>75</v>
      </c>
      <c r="H80">
        <v>0.95525358677193262</v>
      </c>
    </row>
    <row r="81" spans="1:8" x14ac:dyDescent="0.4">
      <c r="A81" t="s">
        <v>5</v>
      </c>
      <c r="B81" t="s">
        <v>180</v>
      </c>
      <c r="C81">
        <v>6</v>
      </c>
      <c r="D81">
        <v>1</v>
      </c>
      <c r="E81">
        <v>1</v>
      </c>
      <c r="F81">
        <v>76</v>
      </c>
      <c r="H81">
        <v>0.61184166924068606</v>
      </c>
    </row>
    <row r="82" spans="1:8" x14ac:dyDescent="0.4">
      <c r="A82" t="s">
        <v>5</v>
      </c>
      <c r="B82" t="s">
        <v>180</v>
      </c>
      <c r="C82">
        <v>6</v>
      </c>
      <c r="D82">
        <v>1</v>
      </c>
      <c r="E82">
        <v>1</v>
      </c>
      <c r="F82">
        <v>77</v>
      </c>
      <c r="H82">
        <v>0.3484181395253213</v>
      </c>
    </row>
    <row r="83" spans="1:8" x14ac:dyDescent="0.4">
      <c r="A83" t="s">
        <v>5</v>
      </c>
      <c r="B83" t="s">
        <v>180</v>
      </c>
      <c r="C83">
        <v>6</v>
      </c>
      <c r="D83">
        <v>1</v>
      </c>
      <c r="E83">
        <v>1</v>
      </c>
      <c r="F83">
        <v>78</v>
      </c>
      <c r="H83">
        <v>0.17611037076120384</v>
      </c>
    </row>
    <row r="84" spans="1:8" x14ac:dyDescent="0.4">
      <c r="A84" t="s">
        <v>5</v>
      </c>
      <c r="B84" t="s">
        <v>180</v>
      </c>
      <c r="C84">
        <v>6</v>
      </c>
      <c r="D84">
        <v>1</v>
      </c>
      <c r="E84">
        <v>1</v>
      </c>
      <c r="F84">
        <v>79</v>
      </c>
      <c r="H84">
        <v>0.47658859170371815</v>
      </c>
    </row>
    <row r="85" spans="1:8" x14ac:dyDescent="0.4">
      <c r="A85" t="s">
        <v>5</v>
      </c>
      <c r="B85" t="s">
        <v>180</v>
      </c>
      <c r="C85">
        <v>6</v>
      </c>
      <c r="D85">
        <v>1</v>
      </c>
      <c r="E85">
        <v>1</v>
      </c>
      <c r="F85">
        <v>80</v>
      </c>
      <c r="H85">
        <v>2.7428382929461703E-2</v>
      </c>
    </row>
    <row r="86" spans="1:8" x14ac:dyDescent="0.4">
      <c r="A86" t="s">
        <v>5</v>
      </c>
      <c r="B86" t="s">
        <v>180</v>
      </c>
      <c r="C86">
        <v>6</v>
      </c>
      <c r="D86">
        <v>1</v>
      </c>
      <c r="E86">
        <v>1</v>
      </c>
      <c r="F86">
        <v>81</v>
      </c>
      <c r="H86">
        <v>0.76821491720258062</v>
      </c>
    </row>
    <row r="87" spans="1:8" x14ac:dyDescent="0.4">
      <c r="A87" t="s">
        <v>5</v>
      </c>
      <c r="B87" t="s">
        <v>180</v>
      </c>
      <c r="C87">
        <v>6</v>
      </c>
      <c r="D87">
        <v>1</v>
      </c>
      <c r="E87">
        <v>1</v>
      </c>
      <c r="F87">
        <v>82</v>
      </c>
      <c r="H87">
        <v>0.26242358954325284</v>
      </c>
    </row>
    <row r="88" spans="1:8" x14ac:dyDescent="0.4">
      <c r="A88" t="s">
        <v>5</v>
      </c>
      <c r="B88" t="s">
        <v>180</v>
      </c>
      <c r="C88">
        <v>6</v>
      </c>
      <c r="D88">
        <v>1</v>
      </c>
      <c r="E88">
        <v>1</v>
      </c>
      <c r="F88">
        <v>83</v>
      </c>
      <c r="H88">
        <v>9.6442039190786089E-3</v>
      </c>
    </row>
    <row r="89" spans="1:8" x14ac:dyDescent="0.4">
      <c r="A89" t="s">
        <v>5</v>
      </c>
      <c r="B89" t="s">
        <v>180</v>
      </c>
      <c r="C89">
        <v>6</v>
      </c>
      <c r="D89">
        <v>1</v>
      </c>
      <c r="E89">
        <v>1</v>
      </c>
      <c r="F89">
        <v>84</v>
      </c>
      <c r="H89">
        <v>0.54611238314805566</v>
      </c>
    </row>
    <row r="90" spans="1:8" x14ac:dyDescent="0.4">
      <c r="A90" t="s">
        <v>5</v>
      </c>
      <c r="B90" t="s">
        <v>180</v>
      </c>
      <c r="C90">
        <v>6</v>
      </c>
      <c r="D90">
        <v>1</v>
      </c>
      <c r="E90">
        <v>1</v>
      </c>
      <c r="F90">
        <v>85</v>
      </c>
      <c r="H90">
        <v>0.2026970046795451</v>
      </c>
    </row>
    <row r="91" spans="1:8" x14ac:dyDescent="0.4">
      <c r="A91" t="s">
        <v>5</v>
      </c>
      <c r="B91" t="s">
        <v>180</v>
      </c>
      <c r="C91">
        <v>6</v>
      </c>
      <c r="D91">
        <v>1</v>
      </c>
      <c r="E91">
        <v>1</v>
      </c>
      <c r="F91">
        <v>86</v>
      </c>
      <c r="H91">
        <v>0.97005787317898062</v>
      </c>
    </row>
    <row r="92" spans="1:8" x14ac:dyDescent="0.4">
      <c r="A92" t="s">
        <v>5</v>
      </c>
      <c r="B92" t="s">
        <v>180</v>
      </c>
      <c r="C92">
        <v>6</v>
      </c>
      <c r="D92">
        <v>1</v>
      </c>
      <c r="E92">
        <v>1</v>
      </c>
      <c r="F92">
        <v>87</v>
      </c>
      <c r="H92">
        <v>0.94834081736587406</v>
      </c>
    </row>
    <row r="93" spans="1:8" x14ac:dyDescent="0.4">
      <c r="A93" t="s">
        <v>5</v>
      </c>
      <c r="B93" t="s">
        <v>180</v>
      </c>
      <c r="C93">
        <v>6</v>
      </c>
      <c r="D93">
        <v>1</v>
      </c>
      <c r="E93">
        <v>1</v>
      </c>
      <c r="F93">
        <v>88</v>
      </c>
      <c r="H93">
        <v>0.86215544013315359</v>
      </c>
    </row>
    <row r="94" spans="1:8" x14ac:dyDescent="0.4">
      <c r="A94" t="s">
        <v>5</v>
      </c>
      <c r="B94" t="s">
        <v>180</v>
      </c>
      <c r="C94">
        <v>6</v>
      </c>
      <c r="D94">
        <v>1</v>
      </c>
      <c r="E94">
        <v>1</v>
      </c>
      <c r="F94">
        <v>89</v>
      </c>
      <c r="H94">
        <v>0.71162189998534142</v>
      </c>
    </row>
    <row r="95" spans="1:8" x14ac:dyDescent="0.4">
      <c r="A95" t="s">
        <v>5</v>
      </c>
      <c r="B95" t="s">
        <v>180</v>
      </c>
      <c r="C95">
        <v>6</v>
      </c>
      <c r="D95">
        <v>1</v>
      </c>
      <c r="E95">
        <v>1</v>
      </c>
      <c r="F95">
        <v>90</v>
      </c>
      <c r="H95">
        <v>0.34432305056045642</v>
      </c>
    </row>
    <row r="96" spans="1:8" x14ac:dyDescent="0.4">
      <c r="A96" t="s">
        <v>5</v>
      </c>
      <c r="B96" t="s">
        <v>180</v>
      </c>
      <c r="C96">
        <v>6</v>
      </c>
      <c r="D96">
        <v>1</v>
      </c>
      <c r="E96">
        <v>1</v>
      </c>
      <c r="F96">
        <v>91</v>
      </c>
      <c r="H96">
        <v>0.63434322372470209</v>
      </c>
    </row>
    <row r="97" spans="1:8" x14ac:dyDescent="0.4">
      <c r="A97" t="s">
        <v>5</v>
      </c>
      <c r="B97" t="s">
        <v>180</v>
      </c>
      <c r="C97">
        <v>6</v>
      </c>
      <c r="D97">
        <v>1</v>
      </c>
      <c r="E97">
        <v>1</v>
      </c>
      <c r="F97">
        <v>92</v>
      </c>
      <c r="H97">
        <v>0.13862449875158367</v>
      </c>
    </row>
    <row r="98" spans="1:8" x14ac:dyDescent="0.4">
      <c r="A98" t="s">
        <v>5</v>
      </c>
      <c r="B98" t="s">
        <v>180</v>
      </c>
      <c r="C98">
        <v>6</v>
      </c>
      <c r="D98">
        <v>1</v>
      </c>
      <c r="E98">
        <v>1</v>
      </c>
      <c r="F98">
        <v>93</v>
      </c>
      <c r="H98">
        <v>0.74091279911992836</v>
      </c>
    </row>
    <row r="99" spans="1:8" x14ac:dyDescent="0.4">
      <c r="A99" t="s">
        <v>5</v>
      </c>
      <c r="B99" t="s">
        <v>180</v>
      </c>
      <c r="C99">
        <v>6</v>
      </c>
      <c r="D99">
        <v>1</v>
      </c>
      <c r="E99">
        <v>1</v>
      </c>
      <c r="F99">
        <v>94</v>
      </c>
      <c r="H99">
        <v>0.26675191937493081</v>
      </c>
    </row>
    <row r="100" spans="1:8" x14ac:dyDescent="0.4">
      <c r="A100" t="s">
        <v>5</v>
      </c>
      <c r="B100" t="s">
        <v>180</v>
      </c>
      <c r="C100">
        <v>6</v>
      </c>
      <c r="D100">
        <v>1</v>
      </c>
      <c r="E100">
        <v>1</v>
      </c>
      <c r="F100">
        <v>95</v>
      </c>
      <c r="H100">
        <v>0.25826641091976543</v>
      </c>
    </row>
    <row r="101" spans="1:8" x14ac:dyDescent="0.4">
      <c r="A101" t="s">
        <v>5</v>
      </c>
      <c r="B101" t="s">
        <v>180</v>
      </c>
      <c r="C101">
        <v>6</v>
      </c>
      <c r="D101">
        <v>1</v>
      </c>
      <c r="E101">
        <v>1</v>
      </c>
      <c r="F101">
        <v>96</v>
      </c>
      <c r="H101">
        <v>0.18685921334404321</v>
      </c>
    </row>
    <row r="102" spans="1:8" x14ac:dyDescent="0.4">
      <c r="A102" t="s">
        <v>5</v>
      </c>
      <c r="B102" t="s">
        <v>180</v>
      </c>
      <c r="C102">
        <v>6</v>
      </c>
      <c r="D102">
        <v>1</v>
      </c>
      <c r="E102">
        <v>1</v>
      </c>
      <c r="F102">
        <v>97</v>
      </c>
      <c r="H102">
        <v>0.1895516197839664</v>
      </c>
    </row>
    <row r="103" spans="1:8" x14ac:dyDescent="0.4">
      <c r="A103" t="s">
        <v>5</v>
      </c>
      <c r="B103" t="s">
        <v>180</v>
      </c>
      <c r="C103">
        <v>6</v>
      </c>
      <c r="D103">
        <v>1</v>
      </c>
      <c r="E103">
        <v>1</v>
      </c>
      <c r="F103">
        <v>98</v>
      </c>
      <c r="H103">
        <v>0.72152085743104999</v>
      </c>
    </row>
    <row r="104" spans="1:8" x14ac:dyDescent="0.4">
      <c r="A104" t="s">
        <v>5</v>
      </c>
      <c r="B104" t="s">
        <v>180</v>
      </c>
      <c r="C104">
        <v>6</v>
      </c>
      <c r="D104">
        <v>1</v>
      </c>
      <c r="E104">
        <v>1</v>
      </c>
      <c r="F104">
        <v>99</v>
      </c>
      <c r="H104">
        <v>0.85490525761185598</v>
      </c>
    </row>
    <row r="105" spans="1:8" x14ac:dyDescent="0.4">
      <c r="A105" t="s">
        <v>5</v>
      </c>
      <c r="B105" t="s">
        <v>180</v>
      </c>
      <c r="C105">
        <v>6</v>
      </c>
      <c r="D105">
        <v>1</v>
      </c>
      <c r="E105">
        <v>1</v>
      </c>
      <c r="F105">
        <v>100</v>
      </c>
      <c r="H105">
        <v>0.29663399316702643</v>
      </c>
    </row>
    <row r="106" spans="1:8" x14ac:dyDescent="0.4">
      <c r="A106" t="s">
        <v>5</v>
      </c>
      <c r="B106" t="s">
        <v>180</v>
      </c>
      <c r="C106">
        <v>6</v>
      </c>
      <c r="D106">
        <v>2</v>
      </c>
      <c r="E106">
        <v>1</v>
      </c>
      <c r="F106">
        <v>0</v>
      </c>
      <c r="H106">
        <v>0.22660116144805909</v>
      </c>
    </row>
    <row r="107" spans="1:8" x14ac:dyDescent="0.4">
      <c r="A107" t="s">
        <v>5</v>
      </c>
      <c r="B107" t="s">
        <v>180</v>
      </c>
      <c r="C107">
        <v>6</v>
      </c>
      <c r="D107">
        <v>2</v>
      </c>
      <c r="E107">
        <v>1</v>
      </c>
      <c r="F107">
        <v>1</v>
      </c>
      <c r="H107">
        <v>0.84357233690302946</v>
      </c>
    </row>
    <row r="108" spans="1:8" x14ac:dyDescent="0.4">
      <c r="A108" t="s">
        <v>5</v>
      </c>
      <c r="B108" t="s">
        <v>180</v>
      </c>
      <c r="C108">
        <v>6</v>
      </c>
      <c r="D108">
        <v>2</v>
      </c>
      <c r="E108">
        <v>1</v>
      </c>
      <c r="F108">
        <v>2</v>
      </c>
      <c r="H108">
        <v>2.3764017920143821E-2</v>
      </c>
    </row>
    <row r="109" spans="1:8" x14ac:dyDescent="0.4">
      <c r="A109" t="s">
        <v>5</v>
      </c>
      <c r="B109" t="s">
        <v>180</v>
      </c>
      <c r="C109">
        <v>6</v>
      </c>
      <c r="D109">
        <v>2</v>
      </c>
      <c r="E109">
        <v>1</v>
      </c>
      <c r="F109">
        <v>3</v>
      </c>
      <c r="H109">
        <v>0.56989023643767789</v>
      </c>
    </row>
    <row r="110" spans="1:8" x14ac:dyDescent="0.4">
      <c r="A110" t="s">
        <v>5</v>
      </c>
      <c r="B110" t="s">
        <v>180</v>
      </c>
      <c r="C110">
        <v>6</v>
      </c>
      <c r="D110">
        <v>2</v>
      </c>
      <c r="E110">
        <v>1</v>
      </c>
      <c r="F110">
        <v>4</v>
      </c>
      <c r="H110">
        <v>0.25579553174054759</v>
      </c>
    </row>
    <row r="111" spans="1:8" x14ac:dyDescent="0.4">
      <c r="A111" t="s">
        <v>5</v>
      </c>
      <c r="B111" t="s">
        <v>180</v>
      </c>
      <c r="C111">
        <v>6</v>
      </c>
      <c r="D111">
        <v>2</v>
      </c>
      <c r="E111">
        <v>1</v>
      </c>
      <c r="F111">
        <v>5</v>
      </c>
      <c r="H111">
        <v>0.70493584521484431</v>
      </c>
    </row>
    <row r="112" spans="1:8" x14ac:dyDescent="0.4">
      <c r="A112" t="s">
        <v>5</v>
      </c>
      <c r="B112" t="s">
        <v>180</v>
      </c>
      <c r="C112">
        <v>6</v>
      </c>
      <c r="D112">
        <v>2</v>
      </c>
      <c r="E112">
        <v>1</v>
      </c>
      <c r="F112">
        <v>6</v>
      </c>
      <c r="H112">
        <v>0.71712971713735418</v>
      </c>
    </row>
    <row r="113" spans="1:8" x14ac:dyDescent="0.4">
      <c r="A113" t="s">
        <v>5</v>
      </c>
      <c r="B113" t="s">
        <v>180</v>
      </c>
      <c r="C113">
        <v>6</v>
      </c>
      <c r="D113">
        <v>2</v>
      </c>
      <c r="E113">
        <v>1</v>
      </c>
      <c r="F113">
        <v>7</v>
      </c>
      <c r="H113">
        <v>0.57700506237142857</v>
      </c>
    </row>
    <row r="114" spans="1:8" x14ac:dyDescent="0.4">
      <c r="A114" t="s">
        <v>5</v>
      </c>
      <c r="B114" t="s">
        <v>180</v>
      </c>
      <c r="C114">
        <v>6</v>
      </c>
      <c r="D114">
        <v>2</v>
      </c>
      <c r="E114">
        <v>1</v>
      </c>
      <c r="F114">
        <v>8</v>
      </c>
      <c r="H114">
        <v>0.21688683663559549</v>
      </c>
    </row>
    <row r="115" spans="1:8" x14ac:dyDescent="0.4">
      <c r="A115" t="s">
        <v>5</v>
      </c>
      <c r="B115" t="s">
        <v>180</v>
      </c>
      <c r="C115">
        <v>6</v>
      </c>
      <c r="D115">
        <v>2</v>
      </c>
      <c r="E115">
        <v>1</v>
      </c>
      <c r="F115">
        <v>9</v>
      </c>
      <c r="H115">
        <v>0.26460610738200774</v>
      </c>
    </row>
    <row r="116" spans="1:8" x14ac:dyDescent="0.4">
      <c r="A116" t="s">
        <v>5</v>
      </c>
      <c r="B116" t="s">
        <v>180</v>
      </c>
      <c r="C116">
        <v>6</v>
      </c>
      <c r="D116">
        <v>2</v>
      </c>
      <c r="E116">
        <v>1</v>
      </c>
      <c r="F116">
        <v>10</v>
      </c>
      <c r="H116">
        <v>0.10851695537639083</v>
      </c>
    </row>
    <row r="117" spans="1:8" x14ac:dyDescent="0.4">
      <c r="A117" t="s">
        <v>5</v>
      </c>
      <c r="B117" t="s">
        <v>180</v>
      </c>
      <c r="C117">
        <v>6</v>
      </c>
      <c r="D117">
        <v>2</v>
      </c>
      <c r="E117">
        <v>1</v>
      </c>
      <c r="F117">
        <v>11</v>
      </c>
      <c r="H117">
        <v>0.14289419708212725</v>
      </c>
    </row>
    <row r="118" spans="1:8" x14ac:dyDescent="0.4">
      <c r="A118" t="s">
        <v>5</v>
      </c>
      <c r="B118" t="s">
        <v>180</v>
      </c>
      <c r="C118">
        <v>6</v>
      </c>
      <c r="D118">
        <v>2</v>
      </c>
      <c r="E118">
        <v>1</v>
      </c>
      <c r="F118">
        <v>12</v>
      </c>
      <c r="H118">
        <v>0.38177310956405985</v>
      </c>
    </row>
    <row r="119" spans="1:8" x14ac:dyDescent="0.4">
      <c r="A119" t="s">
        <v>5</v>
      </c>
      <c r="B119" t="s">
        <v>180</v>
      </c>
      <c r="C119">
        <v>6</v>
      </c>
      <c r="D119">
        <v>2</v>
      </c>
      <c r="E119">
        <v>1</v>
      </c>
      <c r="F119">
        <v>13</v>
      </c>
      <c r="H119">
        <v>6.2152014150270496E-2</v>
      </c>
    </row>
    <row r="120" spans="1:8" x14ac:dyDescent="0.4">
      <c r="A120" t="s">
        <v>5</v>
      </c>
      <c r="B120" t="s">
        <v>180</v>
      </c>
      <c r="C120">
        <v>6</v>
      </c>
      <c r="D120">
        <v>2</v>
      </c>
      <c r="E120">
        <v>1</v>
      </c>
      <c r="F120">
        <v>14</v>
      </c>
      <c r="H120">
        <v>0.89132200949106322</v>
      </c>
    </row>
    <row r="121" spans="1:8" x14ac:dyDescent="0.4">
      <c r="A121" t="s">
        <v>5</v>
      </c>
      <c r="B121" t="s">
        <v>180</v>
      </c>
      <c r="C121">
        <v>6</v>
      </c>
      <c r="D121">
        <v>2</v>
      </c>
      <c r="E121">
        <v>1</v>
      </c>
      <c r="F121">
        <v>15</v>
      </c>
      <c r="H121">
        <v>0.56196575287732142</v>
      </c>
    </row>
    <row r="122" spans="1:8" x14ac:dyDescent="0.4">
      <c r="A122" t="s">
        <v>5</v>
      </c>
      <c r="B122" t="s">
        <v>180</v>
      </c>
      <c r="C122">
        <v>6</v>
      </c>
      <c r="D122">
        <v>2</v>
      </c>
      <c r="E122">
        <v>1</v>
      </c>
      <c r="F122">
        <v>16</v>
      </c>
      <c r="H122">
        <v>0.17458003824435331</v>
      </c>
    </row>
    <row r="123" spans="1:8" x14ac:dyDescent="0.4">
      <c r="A123" t="s">
        <v>5</v>
      </c>
      <c r="B123" t="s">
        <v>180</v>
      </c>
      <c r="C123">
        <v>6</v>
      </c>
      <c r="D123">
        <v>2</v>
      </c>
      <c r="E123">
        <v>1</v>
      </c>
      <c r="F123">
        <v>17</v>
      </c>
      <c r="H123">
        <v>0.57640924996099696</v>
      </c>
    </row>
    <row r="124" spans="1:8" x14ac:dyDescent="0.4">
      <c r="A124" t="s">
        <v>5</v>
      </c>
      <c r="B124" t="s">
        <v>180</v>
      </c>
      <c r="C124">
        <v>6</v>
      </c>
      <c r="D124">
        <v>2</v>
      </c>
      <c r="E124">
        <v>1</v>
      </c>
      <c r="F124">
        <v>18</v>
      </c>
      <c r="H124">
        <v>8.9926419562761262E-2</v>
      </c>
    </row>
    <row r="125" spans="1:8" x14ac:dyDescent="0.4">
      <c r="A125" t="s">
        <v>5</v>
      </c>
      <c r="B125" t="s">
        <v>180</v>
      </c>
      <c r="C125">
        <v>6</v>
      </c>
      <c r="D125">
        <v>2</v>
      </c>
      <c r="E125">
        <v>1</v>
      </c>
      <c r="F125">
        <v>19</v>
      </c>
      <c r="H125">
        <v>0.72670086507683407</v>
      </c>
    </row>
    <row r="126" spans="1:8" x14ac:dyDescent="0.4">
      <c r="A126" t="s">
        <v>5</v>
      </c>
      <c r="B126" t="s">
        <v>180</v>
      </c>
      <c r="C126">
        <v>6</v>
      </c>
      <c r="D126">
        <v>2</v>
      </c>
      <c r="E126">
        <v>1</v>
      </c>
      <c r="F126">
        <v>20</v>
      </c>
      <c r="H126">
        <v>0.77175350419596256</v>
      </c>
    </row>
    <row r="127" spans="1:8" x14ac:dyDescent="0.4">
      <c r="A127" t="s">
        <v>5</v>
      </c>
      <c r="B127" t="s">
        <v>180</v>
      </c>
      <c r="C127">
        <v>6</v>
      </c>
      <c r="D127">
        <v>2</v>
      </c>
      <c r="E127">
        <v>1</v>
      </c>
      <c r="F127">
        <v>21</v>
      </c>
      <c r="H127">
        <v>0.39407658016286529</v>
      </c>
    </row>
    <row r="128" spans="1:8" x14ac:dyDescent="0.4">
      <c r="A128" t="s">
        <v>5</v>
      </c>
      <c r="B128" t="s">
        <v>180</v>
      </c>
      <c r="C128">
        <v>6</v>
      </c>
      <c r="D128">
        <v>2</v>
      </c>
      <c r="E128">
        <v>1</v>
      </c>
      <c r="F128">
        <v>22</v>
      </c>
      <c r="H128">
        <v>0.76113308885406006</v>
      </c>
    </row>
    <row r="129" spans="1:8" x14ac:dyDescent="0.4">
      <c r="A129" t="s">
        <v>5</v>
      </c>
      <c r="B129" t="s">
        <v>180</v>
      </c>
      <c r="C129">
        <v>6</v>
      </c>
      <c r="D129">
        <v>2</v>
      </c>
      <c r="E129">
        <v>1</v>
      </c>
      <c r="F129">
        <v>23</v>
      </c>
      <c r="H129">
        <v>0.71260032348372493</v>
      </c>
    </row>
    <row r="130" spans="1:8" x14ac:dyDescent="0.4">
      <c r="A130" t="s">
        <v>5</v>
      </c>
      <c r="B130" t="s">
        <v>180</v>
      </c>
      <c r="C130">
        <v>6</v>
      </c>
      <c r="D130">
        <v>2</v>
      </c>
      <c r="E130">
        <v>1</v>
      </c>
      <c r="F130">
        <v>24</v>
      </c>
      <c r="H130">
        <v>0.91716292054657966</v>
      </c>
    </row>
    <row r="131" spans="1:8" x14ac:dyDescent="0.4">
      <c r="A131" t="s">
        <v>5</v>
      </c>
      <c r="B131" t="s">
        <v>180</v>
      </c>
      <c r="C131">
        <v>6</v>
      </c>
      <c r="D131">
        <v>2</v>
      </c>
      <c r="E131">
        <v>1</v>
      </c>
      <c r="F131">
        <v>25</v>
      </c>
      <c r="H131">
        <v>0.53154452934107332</v>
      </c>
    </row>
    <row r="132" spans="1:8" x14ac:dyDescent="0.4">
      <c r="A132" t="s">
        <v>5</v>
      </c>
      <c r="B132" t="s">
        <v>180</v>
      </c>
      <c r="C132">
        <v>6</v>
      </c>
      <c r="D132">
        <v>2</v>
      </c>
      <c r="E132">
        <v>1</v>
      </c>
      <c r="F132">
        <v>26</v>
      </c>
      <c r="H132">
        <v>0.53762344366872838</v>
      </c>
    </row>
    <row r="133" spans="1:8" x14ac:dyDescent="0.4">
      <c r="A133" t="s">
        <v>5</v>
      </c>
      <c r="B133" t="s">
        <v>180</v>
      </c>
      <c r="C133">
        <v>6</v>
      </c>
      <c r="D133">
        <v>2</v>
      </c>
      <c r="E133">
        <v>1</v>
      </c>
      <c r="F133">
        <v>27</v>
      </c>
      <c r="H133">
        <v>0.31947596312769355</v>
      </c>
    </row>
    <row r="134" spans="1:8" x14ac:dyDescent="0.4">
      <c r="A134" t="s">
        <v>5</v>
      </c>
      <c r="B134" t="s">
        <v>180</v>
      </c>
      <c r="C134">
        <v>6</v>
      </c>
      <c r="D134">
        <v>2</v>
      </c>
      <c r="E134">
        <v>1</v>
      </c>
      <c r="F134">
        <v>28</v>
      </c>
      <c r="H134">
        <v>0.32858593974013539</v>
      </c>
    </row>
    <row r="135" spans="1:8" x14ac:dyDescent="0.4">
      <c r="A135" t="s">
        <v>5</v>
      </c>
      <c r="B135" t="s">
        <v>180</v>
      </c>
      <c r="C135">
        <v>6</v>
      </c>
      <c r="D135">
        <v>2</v>
      </c>
      <c r="E135">
        <v>1</v>
      </c>
      <c r="F135">
        <v>29</v>
      </c>
      <c r="H135">
        <v>0.95867160856200284</v>
      </c>
    </row>
    <row r="136" spans="1:8" x14ac:dyDescent="0.4">
      <c r="A136" t="s">
        <v>5</v>
      </c>
      <c r="B136" t="s">
        <v>180</v>
      </c>
      <c r="C136">
        <v>6</v>
      </c>
      <c r="D136">
        <v>2</v>
      </c>
      <c r="E136">
        <v>1</v>
      </c>
      <c r="F136">
        <v>30</v>
      </c>
      <c r="H136">
        <v>0.43379079137651888</v>
      </c>
    </row>
    <row r="137" spans="1:8" x14ac:dyDescent="0.4">
      <c r="A137" t="s">
        <v>5</v>
      </c>
      <c r="B137" t="s">
        <v>180</v>
      </c>
      <c r="C137">
        <v>6</v>
      </c>
      <c r="D137">
        <v>2</v>
      </c>
      <c r="E137">
        <v>1</v>
      </c>
      <c r="F137">
        <v>31</v>
      </c>
      <c r="H137">
        <v>0.65663597992754896</v>
      </c>
    </row>
    <row r="138" spans="1:8" x14ac:dyDescent="0.4">
      <c r="A138" t="s">
        <v>5</v>
      </c>
      <c r="B138" t="s">
        <v>180</v>
      </c>
      <c r="C138">
        <v>6</v>
      </c>
      <c r="D138">
        <v>2</v>
      </c>
      <c r="E138">
        <v>1</v>
      </c>
      <c r="F138">
        <v>32</v>
      </c>
      <c r="H138">
        <v>0.24353691503644992</v>
      </c>
    </row>
    <row r="139" spans="1:8" x14ac:dyDescent="0.4">
      <c r="A139" t="s">
        <v>5</v>
      </c>
      <c r="B139" t="s">
        <v>180</v>
      </c>
      <c r="C139">
        <v>6</v>
      </c>
      <c r="D139">
        <v>2</v>
      </c>
      <c r="E139">
        <v>1</v>
      </c>
      <c r="F139">
        <v>33</v>
      </c>
      <c r="H139">
        <v>0.28237812448786681</v>
      </c>
    </row>
    <row r="140" spans="1:8" x14ac:dyDescent="0.4">
      <c r="A140" t="s">
        <v>5</v>
      </c>
      <c r="B140" t="s">
        <v>180</v>
      </c>
      <c r="C140">
        <v>6</v>
      </c>
      <c r="D140">
        <v>2</v>
      </c>
      <c r="E140">
        <v>1</v>
      </c>
      <c r="F140">
        <v>34</v>
      </c>
      <c r="H140">
        <v>0.37111251372532961</v>
      </c>
    </row>
    <row r="141" spans="1:8" x14ac:dyDescent="0.4">
      <c r="A141" t="s">
        <v>5</v>
      </c>
      <c r="B141" t="s">
        <v>180</v>
      </c>
      <c r="C141">
        <v>6</v>
      </c>
      <c r="D141">
        <v>2</v>
      </c>
      <c r="E141">
        <v>1</v>
      </c>
      <c r="F141">
        <v>35</v>
      </c>
      <c r="H141">
        <v>7.6886545241597326E-2</v>
      </c>
    </row>
    <row r="142" spans="1:8" x14ac:dyDescent="0.4">
      <c r="A142" t="s">
        <v>5</v>
      </c>
      <c r="B142" t="s">
        <v>180</v>
      </c>
      <c r="C142">
        <v>6</v>
      </c>
      <c r="D142">
        <v>2</v>
      </c>
      <c r="E142">
        <v>1</v>
      </c>
      <c r="F142">
        <v>36</v>
      </c>
      <c r="H142">
        <v>0.43292384855363131</v>
      </c>
    </row>
    <row r="143" spans="1:8" x14ac:dyDescent="0.4">
      <c r="A143" t="s">
        <v>5</v>
      </c>
      <c r="B143" t="s">
        <v>180</v>
      </c>
      <c r="C143">
        <v>6</v>
      </c>
      <c r="D143">
        <v>2</v>
      </c>
      <c r="E143">
        <v>1</v>
      </c>
      <c r="F143">
        <v>37</v>
      </c>
      <c r="H143">
        <v>0.60887697572239641</v>
      </c>
    </row>
    <row r="144" spans="1:8" x14ac:dyDescent="0.4">
      <c r="A144" t="s">
        <v>5</v>
      </c>
      <c r="B144" t="s">
        <v>180</v>
      </c>
      <c r="C144">
        <v>6</v>
      </c>
      <c r="D144">
        <v>2</v>
      </c>
      <c r="E144">
        <v>1</v>
      </c>
      <c r="F144">
        <v>38</v>
      </c>
      <c r="H144">
        <v>0.56606790758373027</v>
      </c>
    </row>
    <row r="145" spans="1:8" x14ac:dyDescent="0.4">
      <c r="A145" t="s">
        <v>5</v>
      </c>
      <c r="B145" t="s">
        <v>180</v>
      </c>
      <c r="C145">
        <v>6</v>
      </c>
      <c r="D145">
        <v>2</v>
      </c>
      <c r="E145">
        <v>1</v>
      </c>
      <c r="F145">
        <v>39</v>
      </c>
      <c r="H145">
        <v>0.48509472152015132</v>
      </c>
    </row>
    <row r="146" spans="1:8" x14ac:dyDescent="0.4">
      <c r="A146" t="s">
        <v>5</v>
      </c>
      <c r="B146" t="s">
        <v>180</v>
      </c>
      <c r="C146">
        <v>6</v>
      </c>
      <c r="D146">
        <v>2</v>
      </c>
      <c r="E146">
        <v>1</v>
      </c>
      <c r="F146">
        <v>40</v>
      </c>
      <c r="H146">
        <v>0.88567166747562598</v>
      </c>
    </row>
    <row r="147" spans="1:8" x14ac:dyDescent="0.4">
      <c r="A147" t="s">
        <v>5</v>
      </c>
      <c r="B147" t="s">
        <v>180</v>
      </c>
      <c r="C147">
        <v>6</v>
      </c>
      <c r="D147">
        <v>2</v>
      </c>
      <c r="E147">
        <v>1</v>
      </c>
      <c r="F147">
        <v>41</v>
      </c>
      <c r="H147">
        <v>0.89082994978479435</v>
      </c>
    </row>
    <row r="148" spans="1:8" x14ac:dyDescent="0.4">
      <c r="A148" t="s">
        <v>5</v>
      </c>
      <c r="B148" t="s">
        <v>180</v>
      </c>
      <c r="C148">
        <v>6</v>
      </c>
      <c r="D148">
        <v>2</v>
      </c>
      <c r="E148">
        <v>1</v>
      </c>
      <c r="F148">
        <v>42</v>
      </c>
      <c r="H148">
        <v>0.74509892406713707</v>
      </c>
    </row>
    <row r="149" spans="1:8" x14ac:dyDescent="0.4">
      <c r="A149" t="s">
        <v>5</v>
      </c>
      <c r="B149" t="s">
        <v>180</v>
      </c>
      <c r="C149">
        <v>6</v>
      </c>
      <c r="D149">
        <v>2</v>
      </c>
      <c r="E149">
        <v>1</v>
      </c>
      <c r="F149">
        <v>43</v>
      </c>
      <c r="H149">
        <v>0.98257157231904679</v>
      </c>
    </row>
    <row r="150" spans="1:8" x14ac:dyDescent="0.4">
      <c r="A150" t="s">
        <v>5</v>
      </c>
      <c r="B150" t="s">
        <v>180</v>
      </c>
      <c r="C150">
        <v>6</v>
      </c>
      <c r="D150">
        <v>2</v>
      </c>
      <c r="E150">
        <v>1</v>
      </c>
      <c r="F150">
        <v>44</v>
      </c>
      <c r="H150">
        <v>0.42542302042511448</v>
      </c>
    </row>
    <row r="151" spans="1:8" x14ac:dyDescent="0.4">
      <c r="A151" t="s">
        <v>5</v>
      </c>
      <c r="B151" t="s">
        <v>180</v>
      </c>
      <c r="C151">
        <v>6</v>
      </c>
      <c r="D151">
        <v>2</v>
      </c>
      <c r="E151">
        <v>1</v>
      </c>
      <c r="F151">
        <v>45</v>
      </c>
      <c r="H151">
        <v>0.75626646032257061</v>
      </c>
    </row>
    <row r="152" spans="1:8" x14ac:dyDescent="0.4">
      <c r="A152" t="s">
        <v>5</v>
      </c>
      <c r="B152" t="s">
        <v>180</v>
      </c>
      <c r="C152">
        <v>6</v>
      </c>
      <c r="D152">
        <v>2</v>
      </c>
      <c r="E152">
        <v>1</v>
      </c>
      <c r="F152">
        <v>46</v>
      </c>
      <c r="H152">
        <v>0.1435647530359262</v>
      </c>
    </row>
    <row r="153" spans="1:8" x14ac:dyDescent="0.4">
      <c r="A153" t="s">
        <v>5</v>
      </c>
      <c r="B153" t="s">
        <v>180</v>
      </c>
      <c r="C153">
        <v>6</v>
      </c>
      <c r="D153">
        <v>2</v>
      </c>
      <c r="E153">
        <v>1</v>
      </c>
      <c r="F153">
        <v>47</v>
      </c>
      <c r="H153">
        <v>0.80932028900647612</v>
      </c>
    </row>
    <row r="154" spans="1:8" x14ac:dyDescent="0.4">
      <c r="A154" t="s">
        <v>5</v>
      </c>
      <c r="B154" t="s">
        <v>180</v>
      </c>
      <c r="C154">
        <v>6</v>
      </c>
      <c r="D154">
        <v>2</v>
      </c>
      <c r="E154">
        <v>1</v>
      </c>
      <c r="F154">
        <v>48</v>
      </c>
      <c r="H154">
        <v>0.85793131179494198</v>
      </c>
    </row>
    <row r="155" spans="1:8" x14ac:dyDescent="0.4">
      <c r="A155" t="s">
        <v>5</v>
      </c>
      <c r="B155" t="s">
        <v>180</v>
      </c>
      <c r="C155">
        <v>6</v>
      </c>
      <c r="D155">
        <v>2</v>
      </c>
      <c r="E155">
        <v>1</v>
      </c>
      <c r="F155">
        <v>49</v>
      </c>
      <c r="H155">
        <v>0.17987090122117999</v>
      </c>
    </row>
    <row r="156" spans="1:8" x14ac:dyDescent="0.4">
      <c r="A156" t="s">
        <v>5</v>
      </c>
      <c r="B156" t="s">
        <v>180</v>
      </c>
      <c r="C156">
        <v>6</v>
      </c>
      <c r="D156">
        <v>2</v>
      </c>
      <c r="E156">
        <v>1</v>
      </c>
      <c r="F156">
        <v>50</v>
      </c>
      <c r="H156">
        <v>0.52342827440501738</v>
      </c>
    </row>
    <row r="157" spans="1:8" x14ac:dyDescent="0.4">
      <c r="A157" t="s">
        <v>5</v>
      </c>
      <c r="B157" t="s">
        <v>180</v>
      </c>
      <c r="C157">
        <v>6</v>
      </c>
      <c r="D157">
        <v>2</v>
      </c>
      <c r="E157">
        <v>1</v>
      </c>
      <c r="F157">
        <v>51</v>
      </c>
      <c r="H157">
        <v>0.65281443161122032</v>
      </c>
    </row>
    <row r="158" spans="1:8" x14ac:dyDescent="0.4">
      <c r="A158" t="s">
        <v>5</v>
      </c>
      <c r="B158" t="s">
        <v>180</v>
      </c>
      <c r="C158">
        <v>6</v>
      </c>
      <c r="D158">
        <v>2</v>
      </c>
      <c r="E158">
        <v>1</v>
      </c>
      <c r="F158">
        <v>52</v>
      </c>
      <c r="H158">
        <v>0.61553648061625887</v>
      </c>
    </row>
    <row r="159" spans="1:8" x14ac:dyDescent="0.4">
      <c r="A159" t="s">
        <v>5</v>
      </c>
      <c r="B159" t="s">
        <v>180</v>
      </c>
      <c r="C159">
        <v>6</v>
      </c>
      <c r="D159">
        <v>2</v>
      </c>
      <c r="E159">
        <v>1</v>
      </c>
      <c r="F159">
        <v>53</v>
      </c>
      <c r="H159">
        <v>3.5562395334426067E-2</v>
      </c>
    </row>
    <row r="160" spans="1:8" x14ac:dyDescent="0.4">
      <c r="A160" t="s">
        <v>5</v>
      </c>
      <c r="B160" t="s">
        <v>180</v>
      </c>
      <c r="C160">
        <v>6</v>
      </c>
      <c r="D160">
        <v>2</v>
      </c>
      <c r="E160">
        <v>1</v>
      </c>
      <c r="F160">
        <v>54</v>
      </c>
      <c r="H160">
        <v>0.78223767844220926</v>
      </c>
    </row>
    <row r="161" spans="1:8" x14ac:dyDescent="0.4">
      <c r="A161" t="s">
        <v>5</v>
      </c>
      <c r="B161" t="s">
        <v>180</v>
      </c>
      <c r="C161">
        <v>6</v>
      </c>
      <c r="D161">
        <v>2</v>
      </c>
      <c r="E161">
        <v>1</v>
      </c>
      <c r="F161">
        <v>55</v>
      </c>
      <c r="H161">
        <v>9.1996591229467684E-2</v>
      </c>
    </row>
    <row r="162" spans="1:8" x14ac:dyDescent="0.4">
      <c r="A162" t="s">
        <v>5</v>
      </c>
      <c r="B162" t="s">
        <v>180</v>
      </c>
      <c r="C162">
        <v>6</v>
      </c>
      <c r="D162">
        <v>2</v>
      </c>
      <c r="E162">
        <v>1</v>
      </c>
      <c r="F162">
        <v>56</v>
      </c>
      <c r="H162">
        <v>0.76753804296324613</v>
      </c>
    </row>
    <row r="163" spans="1:8" x14ac:dyDescent="0.4">
      <c r="A163" t="s">
        <v>5</v>
      </c>
      <c r="B163" t="s">
        <v>180</v>
      </c>
      <c r="C163">
        <v>6</v>
      </c>
      <c r="D163">
        <v>2</v>
      </c>
      <c r="E163">
        <v>1</v>
      </c>
      <c r="F163">
        <v>57</v>
      </c>
      <c r="H163">
        <v>0.79881708473122037</v>
      </c>
    </row>
    <row r="164" spans="1:8" x14ac:dyDescent="0.4">
      <c r="A164" t="s">
        <v>5</v>
      </c>
      <c r="B164" t="s">
        <v>180</v>
      </c>
      <c r="C164">
        <v>6</v>
      </c>
      <c r="D164">
        <v>2</v>
      </c>
      <c r="E164">
        <v>1</v>
      </c>
      <c r="F164">
        <v>58</v>
      </c>
      <c r="H164">
        <v>0.48943007885194945</v>
      </c>
    </row>
    <row r="165" spans="1:8" x14ac:dyDescent="0.4">
      <c r="A165" t="s">
        <v>5</v>
      </c>
      <c r="B165" t="s">
        <v>180</v>
      </c>
      <c r="C165">
        <v>6</v>
      </c>
      <c r="D165">
        <v>2</v>
      </c>
      <c r="E165">
        <v>1</v>
      </c>
      <c r="F165">
        <v>59</v>
      </c>
      <c r="H165">
        <v>0.5452352129791459</v>
      </c>
    </row>
    <row r="166" spans="1:8" x14ac:dyDescent="0.4">
      <c r="A166" t="s">
        <v>5</v>
      </c>
      <c r="B166" t="s">
        <v>180</v>
      </c>
      <c r="C166">
        <v>6</v>
      </c>
      <c r="D166">
        <v>2</v>
      </c>
      <c r="E166">
        <v>1</v>
      </c>
      <c r="F166">
        <v>60</v>
      </c>
      <c r="H166">
        <v>0.21632012217150409</v>
      </c>
    </row>
    <row r="167" spans="1:8" x14ac:dyDescent="0.4">
      <c r="A167" t="s">
        <v>5</v>
      </c>
      <c r="B167" t="s">
        <v>180</v>
      </c>
      <c r="C167">
        <v>6</v>
      </c>
      <c r="D167">
        <v>2</v>
      </c>
      <c r="E167">
        <v>1</v>
      </c>
      <c r="F167">
        <v>61</v>
      </c>
      <c r="H167">
        <v>0.75268659654413217</v>
      </c>
    </row>
    <row r="168" spans="1:8" x14ac:dyDescent="0.4">
      <c r="A168" t="s">
        <v>5</v>
      </c>
      <c r="B168" t="s">
        <v>180</v>
      </c>
      <c r="C168">
        <v>6</v>
      </c>
      <c r="D168">
        <v>2</v>
      </c>
      <c r="E168">
        <v>1</v>
      </c>
      <c r="F168">
        <v>62</v>
      </c>
      <c r="H168">
        <v>0.7336327187125754</v>
      </c>
    </row>
    <row r="169" spans="1:8" x14ac:dyDescent="0.4">
      <c r="A169" t="s">
        <v>5</v>
      </c>
      <c r="B169" t="s">
        <v>180</v>
      </c>
      <c r="C169">
        <v>6</v>
      </c>
      <c r="D169">
        <v>2</v>
      </c>
      <c r="E169">
        <v>1</v>
      </c>
      <c r="F169">
        <v>63</v>
      </c>
      <c r="H169">
        <v>0.35017509430583782</v>
      </c>
    </row>
    <row r="170" spans="1:8" x14ac:dyDescent="0.4">
      <c r="A170" t="s">
        <v>5</v>
      </c>
      <c r="B170" t="s">
        <v>180</v>
      </c>
      <c r="C170">
        <v>6</v>
      </c>
      <c r="D170">
        <v>2</v>
      </c>
      <c r="E170">
        <v>1</v>
      </c>
      <c r="F170">
        <v>64</v>
      </c>
      <c r="H170">
        <v>0.23816749784323687</v>
      </c>
    </row>
    <row r="171" spans="1:8" x14ac:dyDescent="0.4">
      <c r="A171" t="s">
        <v>5</v>
      </c>
      <c r="B171" t="s">
        <v>180</v>
      </c>
      <c r="C171">
        <v>6</v>
      </c>
      <c r="D171">
        <v>2</v>
      </c>
      <c r="E171">
        <v>1</v>
      </c>
      <c r="F171">
        <v>65</v>
      </c>
      <c r="H171">
        <v>0.6827544080066219</v>
      </c>
    </row>
    <row r="172" spans="1:8" x14ac:dyDescent="0.4">
      <c r="A172" t="s">
        <v>5</v>
      </c>
      <c r="B172" t="s">
        <v>180</v>
      </c>
      <c r="C172">
        <v>6</v>
      </c>
      <c r="D172">
        <v>2</v>
      </c>
      <c r="E172">
        <v>1</v>
      </c>
      <c r="F172">
        <v>66</v>
      </c>
      <c r="H172">
        <v>0.59463704928046712</v>
      </c>
    </row>
    <row r="173" spans="1:8" x14ac:dyDescent="0.4">
      <c r="A173" t="s">
        <v>5</v>
      </c>
      <c r="B173" t="s">
        <v>180</v>
      </c>
      <c r="C173">
        <v>6</v>
      </c>
      <c r="D173">
        <v>2</v>
      </c>
      <c r="E173">
        <v>1</v>
      </c>
      <c r="F173">
        <v>67</v>
      </c>
      <c r="H173">
        <v>0.12533402319756282</v>
      </c>
    </row>
    <row r="174" spans="1:8" x14ac:dyDescent="0.4">
      <c r="A174" t="s">
        <v>5</v>
      </c>
      <c r="B174" t="s">
        <v>180</v>
      </c>
      <c r="C174">
        <v>6</v>
      </c>
      <c r="D174">
        <v>2</v>
      </c>
      <c r="E174">
        <v>1</v>
      </c>
      <c r="F174">
        <v>68</v>
      </c>
      <c r="H174">
        <v>0.11615701562407577</v>
      </c>
    </row>
    <row r="175" spans="1:8" x14ac:dyDescent="0.4">
      <c r="A175" t="s">
        <v>5</v>
      </c>
      <c r="B175" t="s">
        <v>180</v>
      </c>
      <c r="C175">
        <v>6</v>
      </c>
      <c r="D175">
        <v>2</v>
      </c>
      <c r="E175">
        <v>1</v>
      </c>
      <c r="F175">
        <v>69</v>
      </c>
      <c r="H175">
        <v>0.60197560967318298</v>
      </c>
    </row>
    <row r="176" spans="1:8" x14ac:dyDescent="0.4">
      <c r="A176" t="s">
        <v>5</v>
      </c>
      <c r="B176" t="s">
        <v>180</v>
      </c>
      <c r="C176">
        <v>6</v>
      </c>
      <c r="D176">
        <v>2</v>
      </c>
      <c r="E176">
        <v>1</v>
      </c>
      <c r="F176">
        <v>70</v>
      </c>
      <c r="H176">
        <v>0.52515612439392734</v>
      </c>
    </row>
    <row r="177" spans="1:8" x14ac:dyDescent="0.4">
      <c r="A177" t="s">
        <v>5</v>
      </c>
      <c r="B177" t="s">
        <v>180</v>
      </c>
      <c r="C177">
        <v>6</v>
      </c>
      <c r="D177">
        <v>2</v>
      </c>
      <c r="E177">
        <v>1</v>
      </c>
      <c r="F177">
        <v>71</v>
      </c>
      <c r="H177">
        <v>0.34644081915674707</v>
      </c>
    </row>
    <row r="178" spans="1:8" x14ac:dyDescent="0.4">
      <c r="A178" t="s">
        <v>5</v>
      </c>
      <c r="B178" t="s">
        <v>180</v>
      </c>
      <c r="C178">
        <v>6</v>
      </c>
      <c r="D178">
        <v>2</v>
      </c>
      <c r="E178">
        <v>1</v>
      </c>
      <c r="F178">
        <v>72</v>
      </c>
      <c r="H178">
        <v>0.85100885706888441</v>
      </c>
    </row>
    <row r="179" spans="1:8" x14ac:dyDescent="0.4">
      <c r="A179" t="s">
        <v>5</v>
      </c>
      <c r="B179" t="s">
        <v>180</v>
      </c>
      <c r="C179">
        <v>6</v>
      </c>
      <c r="D179">
        <v>2</v>
      </c>
      <c r="E179">
        <v>1</v>
      </c>
      <c r="F179">
        <v>73</v>
      </c>
      <c r="H179">
        <v>0.29543117253658391</v>
      </c>
    </row>
    <row r="180" spans="1:8" x14ac:dyDescent="0.4">
      <c r="A180" t="s">
        <v>5</v>
      </c>
      <c r="B180" t="s">
        <v>180</v>
      </c>
      <c r="C180">
        <v>6</v>
      </c>
      <c r="D180">
        <v>2</v>
      </c>
      <c r="E180">
        <v>1</v>
      </c>
      <c r="F180">
        <v>74</v>
      </c>
      <c r="H180">
        <v>0.10498693409724924</v>
      </c>
    </row>
    <row r="181" spans="1:8" x14ac:dyDescent="0.4">
      <c r="A181" t="s">
        <v>5</v>
      </c>
      <c r="B181" t="s">
        <v>180</v>
      </c>
      <c r="C181">
        <v>6</v>
      </c>
      <c r="D181">
        <v>2</v>
      </c>
      <c r="E181">
        <v>1</v>
      </c>
      <c r="F181">
        <v>75</v>
      </c>
      <c r="H181">
        <v>1.7902067177364422E-2</v>
      </c>
    </row>
    <row r="182" spans="1:8" x14ac:dyDescent="0.4">
      <c r="A182" t="s">
        <v>5</v>
      </c>
      <c r="B182" t="s">
        <v>180</v>
      </c>
      <c r="C182">
        <v>6</v>
      </c>
      <c r="D182">
        <v>2</v>
      </c>
      <c r="E182">
        <v>1</v>
      </c>
      <c r="F182">
        <v>76</v>
      </c>
      <c r="H182">
        <v>0.22656576054242572</v>
      </c>
    </row>
    <row r="183" spans="1:8" x14ac:dyDescent="0.4">
      <c r="A183" t="s">
        <v>5</v>
      </c>
      <c r="B183" t="s">
        <v>180</v>
      </c>
      <c r="C183">
        <v>6</v>
      </c>
      <c r="D183">
        <v>2</v>
      </c>
      <c r="E183">
        <v>1</v>
      </c>
      <c r="F183">
        <v>77</v>
      </c>
      <c r="H183">
        <v>0.40749807862153664</v>
      </c>
    </row>
    <row r="184" spans="1:8" x14ac:dyDescent="0.4">
      <c r="A184" t="s">
        <v>5</v>
      </c>
      <c r="B184" t="s">
        <v>180</v>
      </c>
      <c r="C184">
        <v>6</v>
      </c>
      <c r="D184">
        <v>2</v>
      </c>
      <c r="E184">
        <v>1</v>
      </c>
      <c r="F184">
        <v>78</v>
      </c>
      <c r="H184">
        <v>0.70343282220694481</v>
      </c>
    </row>
    <row r="185" spans="1:8" x14ac:dyDescent="0.4">
      <c r="A185" t="s">
        <v>5</v>
      </c>
      <c r="B185" t="s">
        <v>180</v>
      </c>
      <c r="C185">
        <v>6</v>
      </c>
      <c r="D185">
        <v>2</v>
      </c>
      <c r="E185">
        <v>1</v>
      </c>
      <c r="F185">
        <v>79</v>
      </c>
      <c r="H185">
        <v>0.71829916413619332</v>
      </c>
    </row>
    <row r="186" spans="1:8" x14ac:dyDescent="0.4">
      <c r="A186" t="s">
        <v>5</v>
      </c>
      <c r="B186" t="s">
        <v>180</v>
      </c>
      <c r="C186">
        <v>6</v>
      </c>
      <c r="D186">
        <v>2</v>
      </c>
      <c r="E186">
        <v>1</v>
      </c>
      <c r="F186">
        <v>80</v>
      </c>
      <c r="H186">
        <v>0.78832876622422521</v>
      </c>
    </row>
    <row r="187" spans="1:8" x14ac:dyDescent="0.4">
      <c r="A187" t="s">
        <v>5</v>
      </c>
      <c r="B187" t="s">
        <v>180</v>
      </c>
      <c r="C187">
        <v>6</v>
      </c>
      <c r="D187">
        <v>2</v>
      </c>
      <c r="E187">
        <v>1</v>
      </c>
      <c r="F187">
        <v>81</v>
      </c>
      <c r="H187">
        <v>0.4875224521009236</v>
      </c>
    </row>
    <row r="188" spans="1:8" x14ac:dyDescent="0.4">
      <c r="A188" t="s">
        <v>5</v>
      </c>
      <c r="B188" t="s">
        <v>180</v>
      </c>
      <c r="C188">
        <v>6</v>
      </c>
      <c r="D188">
        <v>2</v>
      </c>
      <c r="E188">
        <v>1</v>
      </c>
      <c r="F188">
        <v>82</v>
      </c>
      <c r="H188">
        <v>0.30659392881514713</v>
      </c>
    </row>
    <row r="189" spans="1:8" x14ac:dyDescent="0.4">
      <c r="A189" t="s">
        <v>5</v>
      </c>
      <c r="B189" t="s">
        <v>180</v>
      </c>
      <c r="C189">
        <v>6</v>
      </c>
      <c r="D189">
        <v>2</v>
      </c>
      <c r="E189">
        <v>1</v>
      </c>
      <c r="F189">
        <v>83</v>
      </c>
      <c r="H189">
        <v>0.33880643926614362</v>
      </c>
    </row>
    <row r="190" spans="1:8" x14ac:dyDescent="0.4">
      <c r="A190" t="s">
        <v>5</v>
      </c>
      <c r="B190" t="s">
        <v>180</v>
      </c>
      <c r="C190">
        <v>6</v>
      </c>
      <c r="D190">
        <v>2</v>
      </c>
      <c r="E190">
        <v>1</v>
      </c>
      <c r="F190">
        <v>84</v>
      </c>
      <c r="H190">
        <v>0.85872720837786032</v>
      </c>
    </row>
    <row r="191" spans="1:8" x14ac:dyDescent="0.4">
      <c r="A191" t="s">
        <v>5</v>
      </c>
      <c r="B191" t="s">
        <v>180</v>
      </c>
      <c r="C191">
        <v>6</v>
      </c>
      <c r="D191">
        <v>2</v>
      </c>
      <c r="E191">
        <v>1</v>
      </c>
      <c r="F191">
        <v>85</v>
      </c>
      <c r="H191">
        <v>0.27091873615581619</v>
      </c>
    </row>
    <row r="192" spans="1:8" x14ac:dyDescent="0.4">
      <c r="A192" t="s">
        <v>5</v>
      </c>
      <c r="B192" t="s">
        <v>180</v>
      </c>
      <c r="C192">
        <v>6</v>
      </c>
      <c r="D192">
        <v>2</v>
      </c>
      <c r="E192">
        <v>1</v>
      </c>
      <c r="F192">
        <v>86</v>
      </c>
      <c r="H192">
        <v>0.65862008949727324</v>
      </c>
    </row>
    <row r="193" spans="1:8" x14ac:dyDescent="0.4">
      <c r="A193" t="s">
        <v>5</v>
      </c>
      <c r="B193" t="s">
        <v>180</v>
      </c>
      <c r="C193">
        <v>6</v>
      </c>
      <c r="D193">
        <v>2</v>
      </c>
      <c r="E193">
        <v>1</v>
      </c>
      <c r="F193">
        <v>87</v>
      </c>
      <c r="H193">
        <v>0.96692966601668129</v>
      </c>
    </row>
    <row r="194" spans="1:8" x14ac:dyDescent="0.4">
      <c r="A194" t="s">
        <v>5</v>
      </c>
      <c r="B194" t="s">
        <v>180</v>
      </c>
      <c r="C194">
        <v>6</v>
      </c>
      <c r="D194">
        <v>2</v>
      </c>
      <c r="E194">
        <v>1</v>
      </c>
      <c r="F194">
        <v>88</v>
      </c>
      <c r="H194">
        <v>0.16110703082142752</v>
      </c>
    </row>
    <row r="195" spans="1:8" x14ac:dyDescent="0.4">
      <c r="A195" t="s">
        <v>5</v>
      </c>
      <c r="B195" t="s">
        <v>180</v>
      </c>
      <c r="C195">
        <v>6</v>
      </c>
      <c r="D195">
        <v>2</v>
      </c>
      <c r="E195">
        <v>1</v>
      </c>
      <c r="F195">
        <v>89</v>
      </c>
      <c r="H195">
        <v>0.92270133462502002</v>
      </c>
    </row>
    <row r="196" spans="1:8" x14ac:dyDescent="0.4">
      <c r="A196" t="s">
        <v>5</v>
      </c>
      <c r="B196" t="s">
        <v>180</v>
      </c>
      <c r="C196">
        <v>6</v>
      </c>
      <c r="D196">
        <v>2</v>
      </c>
      <c r="E196">
        <v>1</v>
      </c>
      <c r="F196">
        <v>90</v>
      </c>
      <c r="H196">
        <v>0.20451145314671759</v>
      </c>
    </row>
    <row r="197" spans="1:8" x14ac:dyDescent="0.4">
      <c r="A197" t="s">
        <v>5</v>
      </c>
      <c r="B197" t="s">
        <v>180</v>
      </c>
      <c r="C197">
        <v>6</v>
      </c>
      <c r="D197">
        <v>2</v>
      </c>
      <c r="E197">
        <v>1</v>
      </c>
      <c r="F197">
        <v>91</v>
      </c>
      <c r="H197">
        <v>0.77725039650830674</v>
      </c>
    </row>
    <row r="198" spans="1:8" x14ac:dyDescent="0.4">
      <c r="A198" t="s">
        <v>5</v>
      </c>
      <c r="B198" t="s">
        <v>180</v>
      </c>
      <c r="C198">
        <v>6</v>
      </c>
      <c r="D198">
        <v>2</v>
      </c>
      <c r="E198">
        <v>1</v>
      </c>
      <c r="F198">
        <v>92</v>
      </c>
      <c r="H198">
        <v>0.78788746293100465</v>
      </c>
    </row>
    <row r="199" spans="1:8" x14ac:dyDescent="0.4">
      <c r="A199" t="s">
        <v>5</v>
      </c>
      <c r="B199" t="s">
        <v>180</v>
      </c>
      <c r="C199">
        <v>6</v>
      </c>
      <c r="D199">
        <v>2</v>
      </c>
      <c r="E199">
        <v>1</v>
      </c>
      <c r="F199">
        <v>93</v>
      </c>
      <c r="H199">
        <v>0.1505040540363809</v>
      </c>
    </row>
    <row r="200" spans="1:8" x14ac:dyDescent="0.4">
      <c r="A200" t="s">
        <v>5</v>
      </c>
      <c r="B200" t="s">
        <v>180</v>
      </c>
      <c r="C200">
        <v>6</v>
      </c>
      <c r="D200">
        <v>2</v>
      </c>
      <c r="E200">
        <v>1</v>
      </c>
      <c r="F200">
        <v>94</v>
      </c>
      <c r="H200">
        <v>0.18338211523720327</v>
      </c>
    </row>
    <row r="201" spans="1:8" x14ac:dyDescent="0.4">
      <c r="A201" t="s">
        <v>5</v>
      </c>
      <c r="B201" t="s">
        <v>180</v>
      </c>
      <c r="C201">
        <v>6</v>
      </c>
      <c r="D201">
        <v>2</v>
      </c>
      <c r="E201">
        <v>1</v>
      </c>
      <c r="F201">
        <v>95</v>
      </c>
      <c r="H201">
        <v>0.4996799517249999</v>
      </c>
    </row>
    <row r="202" spans="1:8" x14ac:dyDescent="0.4">
      <c r="A202" t="s">
        <v>5</v>
      </c>
      <c r="B202" t="s">
        <v>180</v>
      </c>
      <c r="C202">
        <v>6</v>
      </c>
      <c r="D202">
        <v>2</v>
      </c>
      <c r="E202">
        <v>1</v>
      </c>
      <c r="F202">
        <v>96</v>
      </c>
      <c r="H202">
        <v>0.69238619676570257</v>
      </c>
    </row>
    <row r="203" spans="1:8" x14ac:dyDescent="0.4">
      <c r="A203" t="s">
        <v>5</v>
      </c>
      <c r="B203" t="s">
        <v>180</v>
      </c>
      <c r="C203">
        <v>6</v>
      </c>
      <c r="D203">
        <v>2</v>
      </c>
      <c r="E203">
        <v>1</v>
      </c>
      <c r="F203">
        <v>97</v>
      </c>
      <c r="H203">
        <v>0.79858534192412511</v>
      </c>
    </row>
    <row r="204" spans="1:8" x14ac:dyDescent="0.4">
      <c r="A204" t="s">
        <v>5</v>
      </c>
      <c r="B204" t="s">
        <v>180</v>
      </c>
      <c r="C204">
        <v>6</v>
      </c>
      <c r="D204">
        <v>2</v>
      </c>
      <c r="E204">
        <v>1</v>
      </c>
      <c r="F204">
        <v>98</v>
      </c>
      <c r="H204">
        <v>0.42595487756341999</v>
      </c>
    </row>
    <row r="205" spans="1:8" x14ac:dyDescent="0.4">
      <c r="A205" t="s">
        <v>5</v>
      </c>
      <c r="B205" t="s">
        <v>180</v>
      </c>
      <c r="C205">
        <v>6</v>
      </c>
      <c r="D205">
        <v>2</v>
      </c>
      <c r="E205">
        <v>1</v>
      </c>
      <c r="F205">
        <v>99</v>
      </c>
      <c r="H205">
        <v>9.9449698087791472E-2</v>
      </c>
    </row>
    <row r="206" spans="1:8" x14ac:dyDescent="0.4">
      <c r="A206" t="s">
        <v>5</v>
      </c>
      <c r="B206" t="s">
        <v>180</v>
      </c>
      <c r="C206">
        <v>6</v>
      </c>
      <c r="D206">
        <v>2</v>
      </c>
      <c r="E206">
        <v>1</v>
      </c>
      <c r="F206">
        <v>100</v>
      </c>
      <c r="H206">
        <v>0.49709364235766507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4AA3E-8956-4AA8-81A8-ECE01DDB658A}">
  <sheetPr codeName="Sheet2"/>
  <dimension ref="A1:DW4"/>
  <sheetViews>
    <sheetView workbookViewId="0">
      <pane xSplit="2" ySplit="3" topLeftCell="AU4" activePane="bottomRight" state="frozen"/>
      <selection pane="topRight" activeCell="C1" sqref="C1"/>
      <selection pane="bottomLeft" activeCell="A3" sqref="A3"/>
      <selection pane="bottomRight" activeCell="BO7" sqref="BO7"/>
    </sheetView>
  </sheetViews>
  <sheetFormatPr defaultRowHeight="17.399999999999999" outlineLevelCol="1" x14ac:dyDescent="0.4"/>
  <cols>
    <col min="1" max="1" width="9.796875" customWidth="1"/>
    <col min="2" max="2" width="8" customWidth="1"/>
    <col min="3" max="4" width="9.796875" customWidth="1"/>
    <col min="5" max="8" width="6.796875" customWidth="1"/>
    <col min="9" max="14" width="5.59765625" hidden="1" customWidth="1" outlineLevel="1"/>
    <col min="15" max="25" width="6.59765625" hidden="1" customWidth="1" outlineLevel="1"/>
    <col min="26" max="26" width="6.8984375" customWidth="1" collapsed="1"/>
    <col min="27" max="28" width="6.8984375" customWidth="1"/>
    <col min="29" max="34" width="5.69921875" hidden="1" customWidth="1" outlineLevel="1"/>
    <col min="35" max="45" width="6.69921875" hidden="1" customWidth="1" outlineLevel="1"/>
    <col min="46" max="46" width="11.796875" customWidth="1" collapsed="1"/>
    <col min="47" max="48" width="11.796875" customWidth="1"/>
    <col min="49" max="54" width="10.69921875" hidden="1" customWidth="1" outlineLevel="1"/>
    <col min="55" max="65" width="11.69921875" hidden="1" customWidth="1" outlineLevel="1"/>
    <col min="66" max="66" width="16" customWidth="1" collapsed="1"/>
    <col min="67" max="68" width="16" customWidth="1"/>
    <col min="69" max="74" width="15.19921875" hidden="1" customWidth="1" outlineLevel="1"/>
    <col min="75" max="85" width="16.296875" hidden="1" customWidth="1" outlineLevel="1"/>
    <col min="86" max="86" width="16" customWidth="1" collapsed="1"/>
    <col min="87" max="88" width="16" customWidth="1"/>
    <col min="89" max="94" width="15.19921875" hidden="1" customWidth="1" outlineLevel="1"/>
    <col min="95" max="105" width="16.296875" hidden="1" customWidth="1" outlineLevel="1"/>
    <col min="106" max="106" width="11.59765625" customWidth="1" collapsed="1"/>
    <col min="107" max="109" width="11.59765625" customWidth="1"/>
    <col min="110" max="115" width="11.59765625" hidden="1" customWidth="1" outlineLevel="1"/>
    <col min="116" max="126" width="12.59765625" hidden="1" customWidth="1" outlineLevel="1"/>
    <col min="127" max="127" width="8.796875" collapsed="1"/>
  </cols>
  <sheetData>
    <row r="1" spans="1:126" x14ac:dyDescent="0.4">
      <c r="A1" s="2">
        <v>1</v>
      </c>
      <c r="B1" s="2">
        <f>A1+1</f>
        <v>2</v>
      </c>
      <c r="C1" s="2">
        <f t="shared" ref="C1:BO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  <c r="BD1" s="2">
        <f t="shared" si="0"/>
        <v>56</v>
      </c>
      <c r="BE1" s="2">
        <f t="shared" si="0"/>
        <v>57</v>
      </c>
      <c r="BF1" s="2">
        <f t="shared" si="0"/>
        <v>58</v>
      </c>
      <c r="BG1" s="2">
        <f t="shared" si="0"/>
        <v>59</v>
      </c>
      <c r="BH1" s="2">
        <f t="shared" si="0"/>
        <v>60</v>
      </c>
      <c r="BI1" s="2">
        <f t="shared" si="0"/>
        <v>61</v>
      </c>
      <c r="BJ1" s="2">
        <f t="shared" si="0"/>
        <v>62</v>
      </c>
      <c r="BK1" s="2">
        <f t="shared" si="0"/>
        <v>63</v>
      </c>
      <c r="BL1" s="2">
        <f t="shared" si="0"/>
        <v>64</v>
      </c>
      <c r="BM1" s="2">
        <f t="shared" si="0"/>
        <v>65</v>
      </c>
      <c r="BN1" s="2">
        <f t="shared" si="0"/>
        <v>66</v>
      </c>
      <c r="BO1" s="2">
        <f t="shared" si="0"/>
        <v>67</v>
      </c>
      <c r="BP1" s="2">
        <f t="shared" ref="BP1:DE1" si="1">BO1+1</f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  <c r="BV1" s="2">
        <f t="shared" si="1"/>
        <v>74</v>
      </c>
      <c r="BW1" s="2">
        <f t="shared" si="1"/>
        <v>75</v>
      </c>
      <c r="BX1" s="2">
        <f t="shared" si="1"/>
        <v>76</v>
      </c>
      <c r="BY1" s="2">
        <f t="shared" si="1"/>
        <v>77</v>
      </c>
      <c r="BZ1" s="2">
        <f t="shared" si="1"/>
        <v>78</v>
      </c>
      <c r="CA1" s="2">
        <f t="shared" si="1"/>
        <v>79</v>
      </c>
      <c r="CB1" s="2">
        <f t="shared" si="1"/>
        <v>80</v>
      </c>
      <c r="CC1" s="2">
        <f t="shared" si="1"/>
        <v>81</v>
      </c>
      <c r="CD1" s="2">
        <f t="shared" si="1"/>
        <v>82</v>
      </c>
      <c r="CE1" s="2">
        <f t="shared" si="1"/>
        <v>83</v>
      </c>
      <c r="CF1" s="2">
        <f t="shared" si="1"/>
        <v>84</v>
      </c>
      <c r="CG1" s="2">
        <f t="shared" si="1"/>
        <v>85</v>
      </c>
      <c r="CH1" s="2">
        <f t="shared" si="1"/>
        <v>86</v>
      </c>
      <c r="CI1" s="2">
        <f t="shared" si="1"/>
        <v>87</v>
      </c>
      <c r="CJ1" s="2">
        <f t="shared" si="1"/>
        <v>88</v>
      </c>
      <c r="CK1" s="2">
        <f t="shared" si="1"/>
        <v>89</v>
      </c>
      <c r="CL1" s="2">
        <f t="shared" si="1"/>
        <v>90</v>
      </c>
      <c r="CM1" s="2">
        <f t="shared" si="1"/>
        <v>91</v>
      </c>
      <c r="CN1" s="2">
        <f t="shared" si="1"/>
        <v>92</v>
      </c>
      <c r="CO1" s="2">
        <f t="shared" si="1"/>
        <v>93</v>
      </c>
      <c r="CP1" s="2">
        <f t="shared" si="1"/>
        <v>94</v>
      </c>
      <c r="CQ1" s="2">
        <f t="shared" si="1"/>
        <v>95</v>
      </c>
      <c r="CR1" s="2">
        <f t="shared" si="1"/>
        <v>96</v>
      </c>
      <c r="CS1" s="2">
        <f t="shared" si="1"/>
        <v>97</v>
      </c>
      <c r="CT1" s="2">
        <f t="shared" si="1"/>
        <v>98</v>
      </c>
      <c r="CU1" s="2">
        <f t="shared" si="1"/>
        <v>99</v>
      </c>
      <c r="CV1" s="2">
        <f t="shared" si="1"/>
        <v>100</v>
      </c>
      <c r="CW1" s="2">
        <f t="shared" si="1"/>
        <v>101</v>
      </c>
      <c r="CX1" s="2">
        <f t="shared" si="1"/>
        <v>102</v>
      </c>
      <c r="CY1" s="2">
        <f t="shared" si="1"/>
        <v>103</v>
      </c>
      <c r="CZ1" s="2">
        <f t="shared" si="1"/>
        <v>104</v>
      </c>
      <c r="DA1" s="2">
        <f t="shared" si="1"/>
        <v>105</v>
      </c>
      <c r="DB1" s="2">
        <f t="shared" si="1"/>
        <v>106</v>
      </c>
      <c r="DC1" s="2">
        <f t="shared" si="1"/>
        <v>107</v>
      </c>
      <c r="DD1" s="2">
        <f t="shared" si="1"/>
        <v>108</v>
      </c>
      <c r="DE1" s="2">
        <f t="shared" si="1"/>
        <v>109</v>
      </c>
      <c r="DF1" s="2">
        <f t="shared" ref="DF1:DV1" si="2">DE1+1</f>
        <v>110</v>
      </c>
      <c r="DG1" s="2">
        <f t="shared" si="2"/>
        <v>111</v>
      </c>
      <c r="DH1" s="2">
        <f t="shared" si="2"/>
        <v>112</v>
      </c>
      <c r="DI1" s="2">
        <f t="shared" si="2"/>
        <v>113</v>
      </c>
      <c r="DJ1" s="2">
        <f t="shared" si="2"/>
        <v>114</v>
      </c>
      <c r="DK1" s="2">
        <f t="shared" si="2"/>
        <v>115</v>
      </c>
      <c r="DL1" s="2">
        <f t="shared" si="2"/>
        <v>116</v>
      </c>
      <c r="DM1" s="2">
        <f t="shared" si="2"/>
        <v>117</v>
      </c>
      <c r="DN1" s="2">
        <f t="shared" si="2"/>
        <v>118</v>
      </c>
      <c r="DO1" s="2">
        <f t="shared" si="2"/>
        <v>119</v>
      </c>
      <c r="DP1" s="2">
        <f t="shared" si="2"/>
        <v>120</v>
      </c>
      <c r="DQ1" s="2">
        <f t="shared" si="2"/>
        <v>121</v>
      </c>
      <c r="DR1" s="2">
        <f t="shared" si="2"/>
        <v>122</v>
      </c>
      <c r="DS1" s="2">
        <f t="shared" si="2"/>
        <v>123</v>
      </c>
      <c r="DT1" s="2">
        <f t="shared" si="2"/>
        <v>124</v>
      </c>
      <c r="DU1" s="2">
        <f t="shared" si="2"/>
        <v>125</v>
      </c>
      <c r="DV1" s="2">
        <f t="shared" si="2"/>
        <v>126</v>
      </c>
    </row>
    <row r="2" spans="1:126" x14ac:dyDescent="0.4">
      <c r="A2" s="21" t="s">
        <v>174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</row>
    <row r="3" spans="1:126" x14ac:dyDescent="0.4">
      <c r="A3" s="19" t="s">
        <v>47</v>
      </c>
      <c r="B3" s="19" t="s">
        <v>48</v>
      </c>
      <c r="C3" s="19" t="s">
        <v>171</v>
      </c>
      <c r="D3" s="19" t="s">
        <v>175</v>
      </c>
      <c r="E3" s="19" t="s">
        <v>49</v>
      </c>
      <c r="F3" s="19" t="s">
        <v>50</v>
      </c>
      <c r="G3" s="19" t="s">
        <v>51</v>
      </c>
      <c r="H3" s="19" t="s">
        <v>52</v>
      </c>
      <c r="I3" s="19" t="s">
        <v>53</v>
      </c>
      <c r="J3" s="19" t="s">
        <v>54</v>
      </c>
      <c r="K3" s="19" t="s">
        <v>55</v>
      </c>
      <c r="L3" s="19" t="s">
        <v>56</v>
      </c>
      <c r="M3" s="19" t="s">
        <v>57</v>
      </c>
      <c r="N3" s="19" t="s">
        <v>58</v>
      </c>
      <c r="O3" s="19" t="s">
        <v>59</v>
      </c>
      <c r="P3" s="19" t="s">
        <v>60</v>
      </c>
      <c r="Q3" s="19" t="s">
        <v>61</v>
      </c>
      <c r="R3" s="19" t="s">
        <v>62</v>
      </c>
      <c r="S3" s="19" t="s">
        <v>63</v>
      </c>
      <c r="T3" s="19" t="s">
        <v>64</v>
      </c>
      <c r="U3" s="19" t="s">
        <v>65</v>
      </c>
      <c r="V3" s="19" t="s">
        <v>66</v>
      </c>
      <c r="W3" s="19" t="s">
        <v>67</v>
      </c>
      <c r="X3" s="19" t="s">
        <v>68</v>
      </c>
      <c r="Y3" s="19" t="s">
        <v>69</v>
      </c>
      <c r="Z3" s="19" t="s">
        <v>70</v>
      </c>
      <c r="AA3" s="19" t="s">
        <v>71</v>
      </c>
      <c r="AB3" s="19" t="s">
        <v>72</v>
      </c>
      <c r="AC3" s="19" t="s">
        <v>73</v>
      </c>
      <c r="AD3" s="19" t="s">
        <v>74</v>
      </c>
      <c r="AE3" s="19" t="s">
        <v>75</v>
      </c>
      <c r="AF3" s="19" t="s">
        <v>76</v>
      </c>
      <c r="AG3" s="19" t="s">
        <v>77</v>
      </c>
      <c r="AH3" s="19" t="s">
        <v>78</v>
      </c>
      <c r="AI3" s="19" t="s">
        <v>79</v>
      </c>
      <c r="AJ3" s="19" t="s">
        <v>80</v>
      </c>
      <c r="AK3" s="19" t="s">
        <v>81</v>
      </c>
      <c r="AL3" s="19" t="s">
        <v>82</v>
      </c>
      <c r="AM3" s="19" t="s">
        <v>83</v>
      </c>
      <c r="AN3" s="19" t="s">
        <v>84</v>
      </c>
      <c r="AO3" s="19" t="s">
        <v>85</v>
      </c>
      <c r="AP3" s="19" t="s">
        <v>86</v>
      </c>
      <c r="AQ3" s="19" t="s">
        <v>87</v>
      </c>
      <c r="AR3" s="19" t="s">
        <v>88</v>
      </c>
      <c r="AS3" s="19" t="s">
        <v>89</v>
      </c>
      <c r="AT3" s="19" t="s">
        <v>90</v>
      </c>
      <c r="AU3" s="19" t="s">
        <v>91</v>
      </c>
      <c r="AV3" s="19" t="s">
        <v>92</v>
      </c>
      <c r="AW3" s="19" t="s">
        <v>93</v>
      </c>
      <c r="AX3" s="19" t="s">
        <v>94</v>
      </c>
      <c r="AY3" s="19" t="s">
        <v>95</v>
      </c>
      <c r="AZ3" s="19" t="s">
        <v>96</v>
      </c>
      <c r="BA3" s="19" t="s">
        <v>97</v>
      </c>
      <c r="BB3" s="19" t="s">
        <v>98</v>
      </c>
      <c r="BC3" s="19" t="s">
        <v>99</v>
      </c>
      <c r="BD3" s="19" t="s">
        <v>100</v>
      </c>
      <c r="BE3" s="19" t="s">
        <v>101</v>
      </c>
      <c r="BF3" s="19" t="s">
        <v>102</v>
      </c>
      <c r="BG3" s="19" t="s">
        <v>103</v>
      </c>
      <c r="BH3" s="19" t="s">
        <v>104</v>
      </c>
      <c r="BI3" s="19" t="s">
        <v>105</v>
      </c>
      <c r="BJ3" s="19" t="s">
        <v>106</v>
      </c>
      <c r="BK3" s="19" t="s">
        <v>107</v>
      </c>
      <c r="BL3" s="19" t="s">
        <v>108</v>
      </c>
      <c r="BM3" s="19" t="s">
        <v>109</v>
      </c>
      <c r="BN3" s="19" t="s">
        <v>110</v>
      </c>
      <c r="BO3" s="19" t="s">
        <v>111</v>
      </c>
      <c r="BP3" s="19" t="s">
        <v>112</v>
      </c>
      <c r="BQ3" s="19" t="s">
        <v>113</v>
      </c>
      <c r="BR3" s="19" t="s">
        <v>114</v>
      </c>
      <c r="BS3" s="19" t="s">
        <v>115</v>
      </c>
      <c r="BT3" s="19" t="s">
        <v>116</v>
      </c>
      <c r="BU3" s="19" t="s">
        <v>117</v>
      </c>
      <c r="BV3" s="19" t="s">
        <v>118</v>
      </c>
      <c r="BW3" s="19" t="s">
        <v>119</v>
      </c>
      <c r="BX3" s="19" t="s">
        <v>120</v>
      </c>
      <c r="BY3" s="19" t="s">
        <v>121</v>
      </c>
      <c r="BZ3" s="19" t="s">
        <v>122</v>
      </c>
      <c r="CA3" s="19" t="s">
        <v>123</v>
      </c>
      <c r="CB3" s="19" t="s">
        <v>124</v>
      </c>
      <c r="CC3" s="19" t="s">
        <v>125</v>
      </c>
      <c r="CD3" s="19" t="s">
        <v>126</v>
      </c>
      <c r="CE3" s="19" t="s">
        <v>127</v>
      </c>
      <c r="CF3" s="19" t="s">
        <v>128</v>
      </c>
      <c r="CG3" s="19" t="s">
        <v>129</v>
      </c>
      <c r="CH3" s="19" t="s">
        <v>130</v>
      </c>
      <c r="CI3" s="19" t="s">
        <v>131</v>
      </c>
      <c r="CJ3" s="19" t="s">
        <v>132</v>
      </c>
      <c r="CK3" s="19" t="s">
        <v>133</v>
      </c>
      <c r="CL3" s="19" t="s">
        <v>134</v>
      </c>
      <c r="CM3" s="19" t="s">
        <v>135</v>
      </c>
      <c r="CN3" s="19" t="s">
        <v>136</v>
      </c>
      <c r="CO3" s="19" t="s">
        <v>137</v>
      </c>
      <c r="CP3" s="19" t="s">
        <v>138</v>
      </c>
      <c r="CQ3" s="19" t="s">
        <v>139</v>
      </c>
      <c r="CR3" s="19" t="s">
        <v>140</v>
      </c>
      <c r="CS3" s="19" t="s">
        <v>141</v>
      </c>
      <c r="CT3" s="19" t="s">
        <v>142</v>
      </c>
      <c r="CU3" s="19" t="s">
        <v>143</v>
      </c>
      <c r="CV3" s="19" t="s">
        <v>144</v>
      </c>
      <c r="CW3" s="19" t="s">
        <v>145</v>
      </c>
      <c r="CX3" s="19" t="s">
        <v>146</v>
      </c>
      <c r="CY3" s="19" t="s">
        <v>147</v>
      </c>
      <c r="CZ3" s="19" t="s">
        <v>148</v>
      </c>
      <c r="DA3" s="19" t="s">
        <v>149</v>
      </c>
      <c r="DB3" s="19" t="s">
        <v>151</v>
      </c>
      <c r="DC3" s="19" t="s">
        <v>150</v>
      </c>
      <c r="DD3" s="19" t="s">
        <v>152</v>
      </c>
      <c r="DE3" s="19" t="s">
        <v>153</v>
      </c>
      <c r="DF3" s="19" t="s">
        <v>154</v>
      </c>
      <c r="DG3" s="19" t="s">
        <v>155</v>
      </c>
      <c r="DH3" s="19" t="s">
        <v>156</v>
      </c>
      <c r="DI3" s="19" t="s">
        <v>157</v>
      </c>
      <c r="DJ3" s="19" t="s">
        <v>158</v>
      </c>
      <c r="DK3" s="19" t="s">
        <v>159</v>
      </c>
      <c r="DL3" s="19" t="s">
        <v>160</v>
      </c>
      <c r="DM3" s="19" t="s">
        <v>161</v>
      </c>
      <c r="DN3" s="19" t="s">
        <v>162</v>
      </c>
      <c r="DO3" s="19" t="s">
        <v>163</v>
      </c>
      <c r="DP3" s="19" t="s">
        <v>164</v>
      </c>
      <c r="DQ3" s="19" t="s">
        <v>165</v>
      </c>
      <c r="DR3" s="19" t="s">
        <v>166</v>
      </c>
      <c r="DS3" s="19" t="s">
        <v>167</v>
      </c>
      <c r="DT3" s="19" t="s">
        <v>168</v>
      </c>
      <c r="DU3" s="19" t="s">
        <v>169</v>
      </c>
      <c r="DV3" s="19" t="s">
        <v>170</v>
      </c>
    </row>
    <row r="4" spans="1:126" x14ac:dyDescent="0.4">
      <c r="A4" s="1">
        <v>1</v>
      </c>
      <c r="B4" s="1" t="s">
        <v>172</v>
      </c>
      <c r="C4" s="1">
        <v>1</v>
      </c>
      <c r="D4" s="1"/>
      <c r="E4" s="1" t="s">
        <v>193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">
        <v>193</v>
      </c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>
        <v>1</v>
      </c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26</vt:i4>
      </vt:variant>
    </vt:vector>
  </HeadingPairs>
  <TitlesOfParts>
    <vt:vector size="32" baseType="lpstr">
      <vt:lpstr>Input</vt:lpstr>
      <vt:lpstr>Sample</vt:lpstr>
      <vt:lpstr>Expense</vt:lpstr>
      <vt:lpstr>Condition</vt:lpstr>
      <vt:lpstr>RiskRate</vt:lpstr>
      <vt:lpstr>Coverage</vt:lpstr>
      <vt:lpstr>alpha1</vt:lpstr>
      <vt:lpstr>alpha2</vt:lpstr>
      <vt:lpstr>alpha3</vt:lpstr>
      <vt:lpstr>alpha4</vt:lpstr>
      <vt:lpstr>beta1</vt:lpstr>
      <vt:lpstr>beta2</vt:lpstr>
      <vt:lpstr>beta3</vt:lpstr>
      <vt:lpstr>ce_1</vt:lpstr>
      <vt:lpstr>ce_2</vt:lpstr>
      <vt:lpstr>exp_i</vt:lpstr>
      <vt:lpstr>gamma</vt:lpstr>
      <vt:lpstr>hyung</vt:lpstr>
      <vt:lpstr>ip</vt:lpstr>
      <vt:lpstr>ir</vt:lpstr>
      <vt:lpstr>jong</vt:lpstr>
      <vt:lpstr>m_prime</vt:lpstr>
      <vt:lpstr>Pm</vt:lpstr>
      <vt:lpstr>PmCk</vt:lpstr>
      <vt:lpstr>Pn</vt:lpstr>
      <vt:lpstr>PnCk</vt:lpstr>
      <vt:lpstr>Input!Print_Area</vt:lpstr>
      <vt:lpstr>re</vt:lpstr>
      <vt:lpstr>reTerm</vt:lpstr>
      <vt:lpstr>seq</vt:lpstr>
      <vt:lpstr>sex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2023-06-27T11:50:02Z</dcterms:created>
  <dcterms:modified xsi:type="dcterms:W3CDTF">2023-07-01T12:10:28Z</dcterms:modified>
</cp:coreProperties>
</file>